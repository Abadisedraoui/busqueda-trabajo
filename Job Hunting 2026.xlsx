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fertas" sheetId="1" r:id="rId5"/>
  </sheets>
  <definedNames/>
  <calcPr/>
</workbook>
</file>

<file path=xl/sharedStrings.xml><?xml version="1.0" encoding="utf-8"?>
<sst xmlns="http://schemas.openxmlformats.org/spreadsheetml/2006/main" count="2723" uniqueCount="2203">
  <si>
    <t>👀</t>
  </si>
  <si>
    <t>N</t>
  </si>
  <si>
    <t>Avance</t>
  </si>
  <si>
    <t>Rol</t>
  </si>
  <si>
    <t>Empresa</t>
  </si>
  <si>
    <t>Workplace</t>
  </si>
  <si>
    <t>Ubicación</t>
  </si>
  <si>
    <t>Experiencia</t>
  </si>
  <si>
    <t>Sueldo</t>
  </si>
  <si>
    <t>Opinión puesto</t>
  </si>
  <si>
    <t>Opinión empresa</t>
  </si>
  <si>
    <t>ChatGPT</t>
  </si>
  <si>
    <t>Info Empresa</t>
  </si>
  <si>
    <t>Valores empresa</t>
  </si>
  <si>
    <t>Perfil</t>
  </si>
  <si>
    <t>Extra</t>
  </si>
  <si>
    <t>Enlace</t>
  </si>
  <si>
    <t>Comentario</t>
  </si>
  <si>
    <t>Avance 2</t>
  </si>
  <si>
    <t>Recap</t>
  </si>
  <si>
    <t>Column 21</t>
  </si>
  <si>
    <t>Column 22</t>
  </si>
  <si>
    <t>Column 23</t>
  </si>
  <si>
    <t>Column 24</t>
  </si>
  <si>
    <t>SME Careers superannotate is shit. es para alimentar a la ia. me salio fatal la entrevista de ia</t>
  </si>
  <si>
    <t>I worked on documenting an internal AI product (OCR + LLM), defining prompt structures and guidelines to help standardize workflows and improve consistency across the team.</t>
  </si>
  <si>
    <t>Documented and structured workflows for an internal GenAI platform (WAVE), integrating tools like Copilot and LLMs, defining prompts, use cases, and editorial processes for content generation and automation.</t>
  </si>
  <si>
    <t>between roles</t>
  </si>
  <si>
    <t xml:space="preserve"> AX/UX Designer en Deutsche Telekom</t>
  </si>
  <si>
    <t>UX Designer</t>
  </si>
  <si>
    <t>Board</t>
  </si>
  <si>
    <t>3 días ofi 
2 dias casa</t>
  </si>
  <si>
    <t>Madrid</t>
  </si>
  <si>
    <t>2 - 4  (Mid)</t>
  </si>
  <si>
    <t>me gustaría 40 k - 50 k</t>
  </si>
  <si>
    <r>
      <rPr>
        <rFont val="Arial"/>
        <b/>
        <color theme="1"/>
      </rPr>
      <t xml:space="preserve">✅ Pros
</t>
    </r>
    <r>
      <rPr>
        <rFont val="Arial"/>
        <color theme="1"/>
      </rPr>
      <t xml:space="preserve">🧩 Producto complejo (encaja contigo)
📈 Mejor crecimiento profesional
🧠 UX más serio (systems, flows)
⚠️ </t>
    </r>
    <r>
      <rPr>
        <rFont val="Arial"/>
        <b/>
        <color theme="1"/>
      </rPr>
      <t xml:space="preserve">Contras
</t>
    </r>
    <r>
      <rPr>
        <rFont val="Arial"/>
        <color theme="1"/>
      </rPr>
      <t xml:space="preserve">
🏢 Híbrido
💸 Salario medio
🧱 Más burocracia
</t>
    </r>
    <r>
      <rPr>
        <rFont val="Arial"/>
        <b/>
        <color theme="1"/>
      </rPr>
      <t xml:space="preserve">🧠 Conclusión
</t>
    </r>
    <r>
      <rPr>
        <rFont val="Arial"/>
        <color theme="1"/>
      </rPr>
      <t xml:space="preserve">
👉 Buen paso estratégico, no “dream job”</t>
    </r>
  </si>
  <si>
    <t>Board International is a global software company that provides an Intelligent Planning Platform designed to help enterprises make better business decisions. Founded over 30 years ago, the company combines business intelligence, performance management, and advanced analytics into a single solution.
The platform is used by large organizations to support complex planning processes such as financial planning, forecasting, and operational strategy. Board focuses on enabling faster, data-driven decision-making across different business areas.
With an international presence and clients across multiple industries, the company positions itself within the enterprise SaaS space. It emphasizes innovation, collaboration, and continuous product evolution, working with cross-functional teams to deliver scalable and user-centered solutions.</t>
  </si>
  <si>
    <r>
      <rPr>
        <rFont val="Arial"/>
        <b/>
        <color theme="1"/>
      </rPr>
      <t>Collaboration</t>
    </r>
    <r>
      <rPr>
        <rFont val="Arial"/>
        <color theme="1"/>
      </rPr>
      <t xml:space="preserve">
Open, cross-functional teamwork (UX, Product, Engineering, QA, Sales)
Shared ownership of outcomes
</t>
    </r>
    <r>
      <rPr>
        <rFont val="Arial"/>
        <b/>
        <color theme="1"/>
      </rPr>
      <t>Innovation</t>
    </r>
    <r>
      <rPr>
        <rFont val="Arial"/>
        <color theme="1"/>
      </rPr>
      <t xml:space="preserve">
Continuous product evolution
Encouragement of new ideas and forward thinking
</t>
    </r>
    <r>
      <rPr>
        <rFont val="Arial"/>
        <b/>
        <color theme="1"/>
      </rPr>
      <t xml:space="preserve">
Growth mindset</t>
    </r>
    <r>
      <rPr>
        <rFont val="Arial"/>
        <color theme="1"/>
      </rPr>
      <t xml:space="preserve">
Constant learning and improvement
Aiming higher, iterating, adapting
User-centered thinking
Focus on real user needs within complex enterprise contexts
Emphasis on clarity, usability, and effectiveness
</t>
    </r>
    <r>
      <rPr>
        <rFont val="Arial"/>
        <b/>
        <color theme="1"/>
      </rPr>
      <t>Accountability &amp; results</t>
    </r>
    <r>
      <rPr>
        <rFont val="Arial"/>
        <color theme="1"/>
      </rPr>
      <t xml:space="preserve">
Driving measurable business outcomes
Aligning design with product and company goals
</t>
    </r>
    <r>
      <rPr>
        <rFont val="Arial"/>
        <b/>
        <color theme="1"/>
      </rPr>
      <t>Diversity &amp; inclusion</t>
    </r>
    <r>
      <rPr>
        <rFont val="Arial"/>
        <color theme="1"/>
      </rPr>
      <t xml:space="preserve">
Respect for individual differences
Creating an environment where people can bring their full selves
</t>
    </r>
    <r>
      <rPr>
        <rFont val="Arial"/>
        <b/>
        <color theme="1"/>
      </rPr>
      <t>Integrity &amp; trust</t>
    </r>
    <r>
      <rPr>
        <rFont val="Arial"/>
        <color theme="1"/>
      </rPr>
      <t xml:space="preserve">
Transparency in collaboration
Responsible handling of data and processes
</t>
    </r>
    <r>
      <rPr>
        <rFont val="Arial"/>
        <b/>
        <color theme="1"/>
      </rPr>
      <t>Quality &amp; excellence</t>
    </r>
    <r>
      <rPr>
        <rFont val="Arial"/>
        <color theme="1"/>
      </rPr>
      <t xml:space="preserve">
High standards in product, design, and delivery
Continuous refinement of systems and practices</t>
    </r>
  </si>
  <si>
    <t>🎓 Background
Degree in Design / HCI / related
💼 Experience
UX experience (mid-level)
Strong portfolio (muy importante)
🧠 Skills (core)
User-centered design &amp; iterative process
Usability principles / heuristics
Translate:
user needs
business goals
technical constraints
→ into clear solutions
🛠️ Tools
Figma (required)
Prototyping tools
Bonus:
AI design tools (Figma Make, Cursor…)
Design-to-code workflows
💻 Technical (plus)
Basic HTML / CSS / JS
Accessibility (WCAG)
🤝 Way of working
Cross-functional collaboration:
PMs, Engineers, QA, etc.
Ability to communicate design decisions clearly
Work in agile / fast-paced environments
🧩 Other
Strong organization &amp; prioritization
Analytical mindset
Fluent English</t>
  </si>
  <si>
    <t xml:space="preserve">### 🔎 Implícito (lo que realmente buscan)
* 🧩 **Enterprise mindset** → flujos complejos, no UI superficial
* 🧱 **Design systems** → usar + mejorar patrones
* 💬 **Comunicación negocio** → justificar decisiones
* 🚀 **Autonomía** → proponer, no ejecutar solo
* 🌫 **Ambigüedad** → no bloquearte
* ⚡ **Pragmatismo** → iterar sin overdesign
---
### ⚠️ Penaliza
* UI-only
* No saber explicar decisiones
* Falta de visión técnica
---
### 🎯 Tú
✔ Encaje alto
👉 Refuerza: **impacto en negocio**
</t>
  </si>
  <si>
    <t>https://boardinternationalsa.applytojob.com/apply/ZwIHlavNgn/UX-Designer</t>
  </si>
  <si>
    <r>
      <rPr>
        <rFont val="Arial"/>
        <b/>
        <color rgb="FFFF0000"/>
      </rPr>
      <t xml:space="preserve">Sarah Koch
</t>
    </r>
    <r>
      <rPr>
        <rFont val="Arial"/>
        <color theme="1"/>
      </rPr>
      <t xml:space="preserve">Application for AX/UX Designer Role - Zainab
Hello!
Nice to meet you Sarah. I came across the AX/UX role at Deutsche Telekom, and it instantly resonanted with me. I thrive in interdisciplinary teams, facilitating design sprints, workshops, and user research to create meaningful solutions. My experience working in agile environments and collaborating with diverse skateholders -tech, legal, sales- has strenghtened my ability to adapt and innovate. But most of all, accessibility truly isn't just a requirement for me, it's a mindset that shapes how I design.
I've also had the chance to work with german colleagues before and always felt very comfortable in that environment. I'd love to get in touch and talk about this opportunity! 
Best,
</t>
    </r>
  </si>
  <si>
    <t>https://docs.google.com/document/d/15b5gLJqcxzs1wz5V9et5YCOttotXXclbZ4oCGgPt3J4/edit?tab=t.0</t>
  </si>
  <si>
    <t>UX/UI</t>
  </si>
  <si>
    <t>Bizneo HR</t>
  </si>
  <si>
    <t>Teletrabajo</t>
  </si>
  <si>
    <t>Creo que será 24 - 32</t>
  </si>
  <si>
    <r>
      <rPr>
        <rFont val="Arial"/>
        <color theme="1"/>
      </rPr>
      <t xml:space="preserve">Depende (más flojo para ti)
⚡ Startup → impacto rápido
✅ </t>
    </r>
    <r>
      <rPr>
        <rFont val="Arial"/>
        <b/>
        <color theme="1"/>
      </rPr>
      <t>Pros</t>
    </r>
    <r>
      <rPr>
        <rFont val="Arial"/>
        <color theme="1"/>
      </rPr>
      <t xml:space="preserve">
🏠 100% remoto
🔍 Mucho research + producto
⚠️ </t>
    </r>
    <r>
      <rPr>
        <rFont val="Arial"/>
        <b/>
        <color theme="1"/>
      </rPr>
      <t>Contras</t>
    </r>
    <r>
      <rPr>
        <rFont val="Arial"/>
        <color theme="1"/>
      </rPr>
      <t xml:space="preserve">
💸 Salario bajo (~25–35k)
👶 Nivel junior
🧱 Menos estructura / menos aprendizaje profundo
🧠 </t>
    </r>
    <r>
      <rPr>
        <rFont val="Arial"/>
        <b/>
        <color theme="1"/>
      </rPr>
      <t>Conclusión</t>
    </r>
    <r>
      <rPr>
        <rFont val="Arial"/>
        <color theme="1"/>
      </rPr>
      <t xml:space="preserve">
👉 Sí, pero como opción cómoda, no crecimiento</t>
    </r>
  </si>
  <si>
    <t>💻 HR Tech SaaS
→ Software de recursos humanos (reclutamiento, gestión de talento, etc.)
🌍 España + LATAM
→ Presencia internacional pero base en España
🚀 Startup / scale-up
→ Crecimiento, producto en evolución
🎯 B2B (empresas)
→ Clientes = empresas (muchas pymes)
⚙️ Producto complejo pero práctico
→ Enfocado a conversión, eficiencia y uso diario</t>
  </si>
  <si>
    <t>💡 Innovación / ideas constantes
→ “hervidero de ideas”
🧠 Simplicidad en lo complejo
→ convertir flujos complejos en intuitivos
🚀 Pragmatismo
→ rapidez y efectividad vs over-research
🤝 Colaboración
→ trabajo con clientes, PM, devs, marketing
🔍 Cercanía al usuario
→ entrevistas, discovery, validación
📈 Mejora continua
→ optimizar procesos e interfaces</t>
  </si>
  <si>
    <t>👶 Junior / mid bajo
🧠 UX product thinker básico
research (entrevistas, discovery)
prototipado + validación
⚡ Pragmático
sabe priorizar rapidez vs perfección
🧩 Resolutivo
simplificar flujos complejos
🤝 Colaborativo
trabajar con PM, dev, clientes
🛠 Figma + prototipado</t>
  </si>
  <si>
    <t>🚀 Experiencia en startups / scale-ups
💼 Trabajo en SaaS B2B (SMB)
📈 Enfoque en conversión + negocio
⚡ Haber trabajado en producto en crecimiento
🧠 Traducción
👉 Quieren alguien que:
entienda producto real
piense en impacto (no solo UX)
se adapte a entornos cambiantes</t>
  </si>
  <si>
    <t>https://www.linkedin.com/jobs/collections/recommended/?currentJobId=4354815053&amp;discover=recommended&amp;discoveryOrigin=JOBS_HOME_JYMBII</t>
  </si>
  <si>
    <t>Passporter</t>
  </si>
  <si>
    <t>Teletrabajo
🤝 Modelo: híbrido (2–3 días oficina si estás allí)
🌍 Si no vives en Valencia → puede ser remoto</t>
  </si>
  <si>
    <t>Valencia</t>
  </si>
  <si>
    <t>👉 +4 años
(+ al menos 2 años en producto digital)
🧠 Nivel real
👉 Mid alto / Senior inicial</t>
  </si>
  <si>
    <t>Creo que será 40 - 55k</t>
  </si>
  <si>
    <r>
      <rPr>
        <rFont val="Arial"/>
        <color theme="1"/>
      </rPr>
      <t xml:space="preserve">👉 Sí, buen encaje, más producto
</t>
    </r>
    <r>
      <rPr>
        <rFont val="Arial"/>
        <b/>
        <color theme="1"/>
      </rPr>
      <t xml:space="preserve">✅ Pros
</t>
    </r>
    <r>
      <rPr>
        <rFont val="Arial"/>
        <color theme="1"/>
      </rPr>
      <t xml:space="preserve">
🌍 Producto real + B2C
🔍 Research + data fuerte (muy tú)
📈 Impacto en producto + estrategia
🏠 Remoto posible
⚠️ </t>
    </r>
    <r>
      <rPr>
        <rFont val="Arial"/>
        <b/>
        <color theme="1"/>
      </rPr>
      <t>Contras</t>
    </r>
    <r>
      <rPr>
        <rFont val="Arial"/>
        <color theme="1"/>
      </rPr>
      <t xml:space="preserve">
🚀 Startup → menos estructura
💸 Sueldo medio
📊 Muy data-driven (Mixpanel, métricas…)</t>
    </r>
  </si>
  <si>
    <t>🏢 Passporter — empresa
🌍 Travel Tech (turismo + producto digital)
📍 Base en Valencia (España)
📅 Fundada en 2016
💡 Qué hacen
📱 App / plataforma para:
inspirarse
planificar viajes
organizar itinerarios
compartir experiencias
👉 Todo en un mismo sitio (tipo “hub de viaje”)
🧠 Modelo
👥 Comunidad + producto
usuarios crean contenido (viajes, rutas)
💼 B2C + B2B
usuarios → planifican viajes
destinos → marketing + data
📊 Datos clave
👨‍💻 Tamaño: ~10–50 personas
🚀 Tipo: startup / scale-up
📈 Crecimiento + producto en evolución
🎯 Posicionamiento
👉 App tipo:
mezcla entre Pinterest + Google Maps + Notion de viajes
🧠 Lectura rápida
Startup pequeña pero con producto real
Muy centrada en:
experiencia usuario
contenido
crecimiento</t>
  </si>
  <si>
    <t>🌱 Valores (Passporter)
🌍 Pasión por viajar
→ producto construido desde experiencia real
👤 User-first
→ empatía + simplificar la vida del usuario
📊 Data-driven
→ decisiones basadas en métricas (Mixpanel, Hotjar…)
🔍 Research continuo
→ validar con usuarios reales
🚀 Crecimiento y ambición
→ escalar producto y equipo
🤝 Colaboración transversal
→ producto, negocio, marketing, tech
🧠 Autonomía + responsabilidad
→ libertad para decidir, ownership
🔄 Iteración constante
→ mejorar, ajustar, evolucionar
🧠 Lectura rápida
👉 Startup orientada a:
producto
datos
crecimiento
usuario real</t>
  </si>
  <si>
    <t>🧠 Product Designer completo
UX + UI + research + data
🔍 Muy orientado a research
discovery, tests, insights reales
📊 Data-driven
Mixpanel, métricas, impacto
🧩 Pensamiento de producto
priorizar, roadmap, estrategia
🧱 Design systems (Figma avanzado)
🤝 Comunicación fuerte
defender decisiones con datos
🚀 Autonomía / ownership
llevar proyectos end-to-end
📱 Experiencia en mobile + responsive
🧠 Traducción
👉 Perfil mid alto / casi senior
👉 No ejecutor → product thinker con impacto</t>
  </si>
  <si>
    <t>✈️ Experiencia en travel sector
📊 Uso de Mixpanel / Amplitude / Hotjar
🚀 Haber trabajado en fase de growth / product-market fit
🧠 Experiencia en product management / roadmap
🧩 Construcción de design systems en Figma (avanzado)
📈 Enfoque en métricas / North Star
🧠 Traducción
👉 Quieren alguien que:
piense en crecimiento + negocio
no solo UX, sino producto completo</t>
  </si>
  <si>
    <t>https://www.linkedin.com/jobs/collections/remote-jobs/?currentJobId=4325298458&amp;discover=recommended&amp;discoveryOrigin=JOBS_HOME_JYMBII</t>
  </si>
  <si>
    <t>SET Europa</t>
  </si>
  <si>
    <t>📍 En la oferta pone: Remote
💻 “Remote-friendly work environment”
🕒 Además: part-time + flexible</t>
  </si>
  <si>
    <t>Creo que será 💰 20k – 30k (equivalente full-time)
o 15–25€/h</t>
  </si>
  <si>
    <t>🎯 SET Europa — opinión
👉 No es buena opción principal para ti
❌ Por qué
🧩 White-label / ejecución → poco diseño estratégico
🧠 Poco crecimiento real (no producto propio)
💸 Salario bajo / part-time
📉 Menos impacto en decisiones</t>
  </si>
  <si>
    <t>🏢 SET Europa — empresa
💻 Consultoría IT + recruitment + outsourcing
🌍 Conecta talento tech (UX, devs, ingenieros) con empresas
🧩 Modelo:
→ tú trabajas para clientes de ellos, no para producto propio
📊 Datos clave
📍 Sede: Barcelona
👥 Tamaño: 11–50 personas
📅 Fundada: 2018
🌍 Enfoque: Europa + proyectos internacionales
⚙️ Qué hacen
Reclutan perfiles tech
Ofrecen outsourcing / nearshore
Colocan gente en proyectos (temporal o permanente)</t>
  </si>
  <si>
    <t>🤝 Colaboración
→ conectar talento con empresas
🌍 Internacionalidad
→ proyectos globales / clientes diversos
⚡ Flexibilidad
→ remoto, part-time, adaptación
🎯 Orientación a cliente
→ soluciones a medida (white-label)
🚀 Eficiencia / rapidez
→ cubrir necesidades rápido
🧠 Lectura rápida
👉 No es cultura de producto
👉 Es más:
servicio</t>
  </si>
  <si>
    <t>🎨 UX/UI ejecutor
adaptar interfaces (white-label)
diseño visual + prototipos
🧩 Orientado a cliente
seguir requisitos específicos
🧱 Consistencia
design systems / guidelines
🤝 Colaboración con devs
handoff claro
⚡ Pragmático / rápido
ejecutar sin mucha exploración</t>
  </si>
  <si>
    <t>🌍 Experiencia en proyectos internacionales
🧩 Haber trabajado con white-label / customización
💻 Buen handoff con desarrolladores
⚡ Experiencia en entornos ágiles / rápidos
🎯 Adaptarte a diferentes marcas / clientes</t>
  </si>
  <si>
    <t>https://www.linkedin.com/jobs/collections/remote-jobs/?currentJobId=4401486334&amp;discover=recommended&amp;discoveryOrigin=JOBS_HOME_JYMBII</t>
  </si>
  <si>
    <t>👤</t>
  </si>
  <si>
    <t>Product Designer</t>
  </si>
  <si>
    <t>OLX</t>
  </si>
  <si>
    <t>Remoto</t>
  </si>
  <si>
    <t>Barcelona</t>
  </si>
  <si>
    <t>No sé, igual 3 - 6 años</t>
  </si>
  <si>
    <t>Base:
👉 €50k – €70k
Bonus:
👉 + 0–15%</t>
  </si>
  <si>
    <t>🎯 OLX — para ti
👉 Muy buena opción (de las mejores que has visto)
✅ Pros
💸 Mejor salario
🌍 Empresa grande / internacional
🧠 Producto complejo + escala real
📊 Data + impacto
🏠 Remoto desde Madrid
⚠️ Contras
🧱 Más estructura / procesos
⚡ Ritmo alto / exigente</t>
  </si>
  <si>
    <t xml:space="preserve">### 🏢 OLX — empresa
* 🌍 **Marketplace global**
  → compra/venta de coches, casas, empleo, segunda mano
* 🧠 Parte de **Prosus**
  → uno de los mayores inversores tech del mundo
* 📊 Opera en **+40 países**
* 👥 Millones de usuarios mensuales
---
### 💡 Qué hacen
* Plataformas tipo:
  * clasificados
  * marketplaces locales
* Ej: coches, inmobiliaria, empleo, objetos
---
### 🧠 Modelo
* 💼 **B2C + C2C marketplaces**
* 📊 Muy **data-driven**
* 📈 Escala global
---
### 🎯 Posicionamiento
👉 Similar a:
* Wallapop / Milanuncios
  pero a nivel **global y mucho más grande**
---
### 🧠 Lectura rápida
* Empresa **muy sólida**
* Producto con **escala real**
* Mucho foco en:
  * datos
  * crecimiento
  * producto
---
### 🎯 Conclusión
👉 **Top empresa para carrera en producto**
</t>
  </si>
  <si>
    <t>🌱 Valores (OLX)
👤 Customer-first
→ decisiones centradas en usuarios reales
🚀 Ambición / impacto
→ construir productos a gran escala
🤝 Colaboración global
→ equipos en múltiples países
📊 Data-driven
→ decisiones basadas en evidencia
🌍 Sostenibilidad
→ economía circular (segunda mano)
⚡ Innovación
→ mejorar continuamente el producto
🔓 Confianza / ownership
→ autonomía y responsabilidad</t>
  </si>
  <si>
    <t>🧠 Product Designer fuerte (end-to-end)
de problema → solución → implementación
📊 Data-driven
decisiones basadas en métricas
🧩 Pensamiento de producto
hipótesis, validación, impacto
🧱 Experiencia en producto grande
sistemas escalables
🤝 Colaboración avanzada
stakeholders, workshops, decisiones
💬 Comunicación / storytelling
defender ideas con claridad
⚡ Autonomía
self-starter
🛠 Figma + design systems
🧠 Traducción
👉 Perfil mid alto / senior real
👉 Product thinker con impacto, no solo diseñador</t>
  </si>
  <si>
    <t>🌍 Experiencia en marketplaces / plataformas
📊 Uso de data tools (A/B testing, analytics)
🧠 Experiencia en producto a gran escala
🧩 Haber trabajado con equipos internacionales
🧱 Contribución a design systems grandes
🚀 Mentalidad de growth / optimización</t>
  </si>
  <si>
    <t>https://www.linkedin.com/jobs/collections/remote-jobs/?currentJobId=4371287388&amp;discover=recommended&amp;discoveryOrigin=JOBS_HOME_JYMBII</t>
  </si>
  <si>
    <r>
      <rPr>
        <rFont val="Arial"/>
        <color rgb="FF434343"/>
      </rPr>
      <t xml:space="preserve">He escrito a </t>
    </r>
    <r>
      <rPr>
        <rFont val="Arial"/>
        <b/>
        <color rgb="FFFF0000"/>
      </rPr>
      <t>Jeremy Hsu(徐偉智)</t>
    </r>
    <r>
      <rPr>
        <rFont val="Arial"/>
        <color rgb="FF434343"/>
      </rPr>
      <t xml:space="preserve">
· 2nd
Lead product designe</t>
    </r>
  </si>
  <si>
    <t>SAMA</t>
  </si>
  <si>
    <t>Portugal
Germany
Netherlands
Spain</t>
  </si>
  <si>
    <t>3 - 5</t>
  </si>
  <si>
    <t>40 k - 50 k</t>
  </si>
  <si>
    <t>👉 Sí, buen encaje (pero no top como OLX)
✅ Pros
🏠 Remoto Europa real
🧠 End-to-end product (muy alineado contigo)
🚀 Startup → impacto + ownership
💸 Salario claro: 40–50k + bonus
⚠️ Contras
🎨 Parte de marketing / branding (no solo producto)
🌫 Poca estructura (startup real)
📉 Menos escala que OLX
🧠 Nivel
👉 Mid (3–5 años)
👉 Tú encajas bien
⚖️ vs otras
OLX → mejor salario + escala
Board → más sólido enterprise
Passporter → similar vibe pero más producto puro
Sama → híbrido producto + marketing
🎯 Conclusión
👉 Buena opción secundaria</t>
  </si>
  <si>
    <t xml:space="preserve">### 🏢 Sama — empresa (claro y directo)
* 💻 **B2B SaaS (HR Tech / coaching)**
  → plataforma de desarrollo profesional para empresas
* 📍 Base: **Londres (UK)** ([CB Insights][1])
* 📅 Fundada: **2020–2021** ([CB Insights][1])
* 🚀 Etapa: **startup (seed)** ([CB Insights][1])
---
### 💡 Qué hacen
* 🧠 Ofrecen **coaching profesional 1:1** a empleados
* 🤖 Usan **IA para emparejar coach–usuario** ([sama.io][2])
* 📊 Miden impacto en:
  * rendimiento
  * engagement
  * retención ([sama.io][3])
👉 Todo desde una app (mensajes, llamadas, sesiones)
---
### 🧩 Modelo
* 💼 **B2B**
  → venden a empresas (HR, talento)
* 👤 Usuarios finales = empleados
* 🔄 Coaching continuo (tipo “coaching as a service”)
---
### 🧠 Cómo funciona el producto
* Matching automático con coach
* Sesiones ilimitadas (chat / video)
* Dashboard para empresas con métricas
👉 mezcla de:
* coaching humano
* data
* AI
---
### 🎯 Posicionamiento
👉 Similar a:
* BetterUp / CoachHub
  pero más pequeño y en fase inicial
---
### 🧠 Lectura rápida
* Startup joven
* Producto interesante (people + performance)
* Muy orientada a:
  * datos
  * impacto en negocio
  * desarrollo de personas
---
### 🎯 Conclusión
👉 Empresa **prometedora pero early-stage**
👉 Más riesgo que OLX / Board, pero más:
* ownership
* variedad
* impacto directo
[1]: https://www.cbinsights.com/company/sama-4?utm_source=chatgpt.com "Sama - Products, Competitors, Financials, Employees, Headquarters Locations"
[2]: https://sama.io/one-on-one-coaching/?utm_source=chatgpt.com "One on One Coaching for Professionals | Sama"
[3]: https://sama.io/?utm_source=chatgpt.com "Talent development and coaching solution with measurable impact | Sama"
</t>
  </si>
  <si>
    <t>👤 People-first
→ foco en desarrollo y bienestar del usuario
📊 Impacto medible
→ coaching basado en resultados y datos
🚀 Ambición / crecimiento
→ construir el “futuro del trabajo”
🧠 Autonomía / ownership
→ mentalidad emprendedora
🌫 Adaptabilidad
→ trabajar sin mucha estructura
🤝 Colaboración
→ equipos pequeños, trabajo cercano
⚡ Bias for action
→ ejecutar rápido, no quedarse en teoría</t>
  </si>
  <si>
    <t>🧠 Product Designer end-to-end
discovery → diseño → entrega
🚀 Mentalidad startup
autónomo, sin mucha estructura
🧩 Product thinker
usuario + negocio + tech
🎨 UX + UI + algo de branding
producto + marketing (landing, assets)
🧱 Design systems
componentes, consistencia
🤝 Colaboración
PM, devs, marketing, sales
📱 Responsive / mobile
🧠 Traducción
👉 Perfil mid completo (3–5 años)
👉 Híbrido: producto + algo de marketing</t>
  </si>
  <si>
    <t>🚀 Experiencia en startups early-stage
💼 Background en SaaS B2B
🎨 Experiencia en marketing / branding / motion
🧠 Interés en coaching / HR / desarrollo personal
📊 Uso de data en producto
⚡ Haber trabajado con equipos pequeños (mucho ownership)</t>
  </si>
  <si>
    <t>https://apply.workable.com/samacoaching/j/469B756B72/</t>
  </si>
  <si>
    <r>
      <rPr>
        <rFont val="Arial"/>
        <color theme="1"/>
      </rPr>
      <t xml:space="preserve">He pedido feedback a </t>
    </r>
    <r>
      <rPr>
        <rFont val="Arial"/>
        <b/>
        <color rgb="FFFF0000"/>
      </rPr>
      <t>Kyle Summers</t>
    </r>
  </si>
  <si>
    <r>
      <rPr>
        <color rgb="FF1155CC"/>
        <u/>
      </rPr>
      <t>UX/UI Designer (UX-focused, Figma &amp; Motion Basics)</t>
    </r>
  </si>
  <si>
    <t>Realnaut</t>
  </si>
  <si>
    <t>Híbrido</t>
  </si>
  <si>
    <t>🧠 Referencia mercado Madrid
UX Designer medio: 30k – 45k
Senior: ~50k – 65k+
🎯 Ajustado a ESTA oferta
Piden +5 años (senior)
Pero es consultoría (paga menos que producto)
👉 Realista:
40k – 50k
Probable: ~42k – 48k</t>
  </si>
  <si>
    <t>🎯 Realnaut — para ti
👉 Buena opción (mejor que consultoras típicas, pero no top)
✅ Pros
🧠 UX fuerte + end-to-end
🧱 Design systems (muy tú)
📈 Nivel senior (+5 años) → bien posicionado
💸 “Retribución competitiva” (mejor que agencias básicas)
⚠️ Contras
🧩 Consultoría (clientes, no producto propio)
🏢 Híbrido Madrid
🎨 Algo de motion (secundario)
📉 Menos ownership que producto puro
💸 Salario esperado
👉 40k – 55k aprox
(posiblemente ~45k)
🧠 Lectura real
👉 Es:
consultoría moderna
buen nivel UX
pero no product company
⚖️ vs otras
OLX / Shakers → mejor (producto + impacto)
Board → más sólido enterprise
Passporter / Sama → más producto
Realnaut → buena consultoría
🎯 Conclusión
👉 Sí, buena opción secundaria
👉 No top si buscas:
producto propio
máximo crecimiento estratégico</t>
  </si>
  <si>
    <t>🏢 Realnaut — empresa
💻 Consultora digital (UX, desarrollo, cloud)
🏢 Parte de Axpe Consulting
📍 Base en Madrid
📅 Fundada en 2022
💡 Qué hacen
Diseñan y desarrollan productos digitales para clientes
Servicios:
UX/UI
desarrollo
cloud / DevOps
data
👉 No tienen producto propio → trabajan por proyectos
📊 Tipo de empresa
🧩 Consultoría moderna / digital
👥 Equipo multidisciplinar
🚀 Proyectos variados (más de 20)
🧠 Lectura rápida
Más “tech consultancy” que agencia clásica
Más moderna que consultoras tradicionales
Pero sigue siendo:
👉 trabajo para clientes, no producto propio</t>
  </si>
  <si>
    <t>🚀 Innovación tecnológica
→ cloud, data, soluciones modernas
🧠 UX-first mindset
→ foco en experiencia y usabilidad
🤝 Colaboración multidisciplinar
→ diseño + desarrollo + negocio
⚡ Agilidad (Agile)
→ iteración continua, mejora constante
📈 Orientación a negocio
→ impacto real en clientes
🎯 Calidad y consistencia
→ design systems, procesos sólidos
📚 Aprendizaje continuo
→ formación y crecimiento</t>
  </si>
  <si>
    <t>🧠 UX fuerte (core)
research, IA, usabilidad, flows
🧩 End-to-end designer
de discovery a prototipo
🧱 Design systems (Figma avanzado)
📊 Data-driven
decisiones con criterio
🤝 Colaboración Agile
con PO, devs, equipo
🎨 UI + algo de motion (secundario)
💬 Comunicación
defender decisiones</t>
  </si>
  <si>
    <t>https://www.linkedin.com/jobs/collections/recommended/?currentJobId=4398553219&amp;discover=recommended&amp;discoveryOrigin=JOBS_HOME_JYMBII</t>
  </si>
  <si>
    <t>KAKE</t>
  </si>
  <si>
    <t>US</t>
  </si>
  <si>
    <t>En España:
50k – 70k (media senior)
👉 En remoto Europa:
~80k – 100k+ de media senior
👉 En empresas internacionales:
puede subir bastante más (US-level incluso mucho mayor)
🎯 Ajustado a ESTA oferta
👉 Realista:
60k – 85k
Si es muy internacional: incluso más</t>
  </si>
  <si>
    <t>👉 No es la mejor opción ahora (un poco por encima en seniority)
⚠️ Por qué
🧠 Piden 7+ años → senior alto
🧩 Fintech + sistemas muy complejos (data-heavy)
📊 Muy orientado a:
configurabilidad
workflows institucionales
👉 Perfil muy específico
🧠 Lectura real
👉 Buscan:
diseñador tipo enterprise hardcore
experiencia fuerte en:
fintech
data tools
sistemas complejos
⚠️ Otros puntos
🌎 US timezone overlap → horarios incómodos
💼 Probablemente muy exigente a nivel técnico
💸 Salario (estimado)
👉 Alto:
60k – 80k+ (o más)
⚖️ vs tú
✔ Encajas en:
producto complejo
systems
UX serio
❌ Gap:
años (7+)
dominio específico (fintech/data-heavy)</t>
  </si>
  <si>
    <t>🏢 Empresa (esta oferta)
👉 No está especificada
(es un talent pipeline / recruiter, no empresa directa)
🧠 Qué significa
🔍 Están recogiendo perfiles para futuros proyectos
💼 Probablemente trabajes para:
una fintech
o cliente enterprise
🧩 Tipo de empresa (por descripción)
👉 Casi seguro:
💻 Fintech SaaS (B2B)
🧠 Producto complejo (fund management, analytics)
🌍 Internacional
⚠️ Lectura importante
No sabes:
empresa exacta
equipo
cultura real
Puede variar mucho según cliente</t>
  </si>
  <si>
    <t>🧠 Excelencia técnica
→ diseño de sistemas complejos y precisos
📊 Data-driven
→ decisiones basadas en datos y workflows
🚀 Innovación (AI)
→ mejorar procesos con tecnología
🧩 Escalabilidad
→ productos configurables y robustos
🤝 Colaboración con negocio
→ trabajar con stakeholders complejos
⚡ Autonomía
→ trabajar de forma independiente
🌍 Mentalidad global
→ equipos internacionales / remoto</t>
  </si>
  <si>
    <t xml:space="preserve">### 🎯 Perfil típico (esta oferta)
* 🧠 **Senior product designer (7–10 años)**
* 🧩 Experiencia en **enterprise / fintech / data-heavy tools**
* 📊 Muy **data + workflows complejos**
* 🧱 Fuerte en **sistemas escalables y configurables**
* 🤖 Familiaridad con **AI aplicada a producto**
* 🌍 Experiencia en **equipos internacionales / remoto**
* 💬 Comunicación muy sólida en inglés
* ⚡ **Autónomo total**
---
### 🧠 Background típico
👉 Gente que viene de:
* fintech (bancos, trading, SaaS financiero)
* herramientas tipo dashboards / analytics
* productos internos complejos
---
### 🧠 Traducción
👉 Perfil:
* muy técnico
* muy estructurado
* muy senior
👉 Menos:
* creativo / exploratorio
  👉 Más:
* **sistemas, data, negocio complejo**
</t>
  </si>
  <si>
    <t>https://www.linkedin.com/jobs/collections/recommended/?currentJobId=4399969225&amp;discover=recommended&amp;discoveryOrigin=JOBS_HOME_JYMBII</t>
  </si>
  <si>
    <t>SDG</t>
  </si>
  <si>
    <t>Remoto aunque puedes ir a la ofi</t>
  </si>
  <si>
    <t>Madrid
Barcelona</t>
  </si>
  <si>
    <t>🎯 Rango realista
40k – 50k
Probable: ~42k – 48k</t>
  </si>
  <si>
    <t>🎯 SDG Group — para ti
👉 Correcta, pero no top
✅ Pros
🧠 UX sólido + data-heavy (BI, dashboards)
🧱 Design systems (muy alineado contigo)
📈 Nivel senior (+5 años)
🏠 Remoto flexible
⚠️ Contras
🧩 Consultoría (clientes, no producto propio)
📊 Mucho B2B data tools (menos creativo)
💸 Salario probablemente medio (~40–50k)
🔄 Varios proyectos → menos profundidad
🧠 Lectura real
👉 Es:
consultoría de datos
UX más técnico / funcional
menos producto, más delivery
⚖️ vs otras
OLX / Shakers → mejor (producto + impacto)
Board → más producto enterprise
Passporter / Sama → más producto puro
SDG → consultoría data
🎯 Conclusión
👉 Buena opción secundaria
👉 No ideal si buscas:
ownership de producto
impacto a largo plazo</t>
  </si>
  <si>
    <t>🏢 SDG Group
💻 Consultora de datos, BI e IA
🌍 Internacional (clientes grandes)
🧩 No producto propio → proyectos para clientes
📊 Mucho foco en dashboards y sistemas complejos
👉 Traducción:
empresa sólida y técnica, más consultoría que producto</t>
  </si>
  <si>
    <t xml:space="preserve">### 🌱 Valores (SDG Group)
* 👤 **Client success first**
  → prioridad absoluta: éxito del cliente ([sdggroup.com][1])
* 📊 **Data-driven mindset**
  → decisiones basadas en datos y analytics ([sdggroup.com][1])
* 🚀 **Innovación continua**
  → IA, nuevas tecnologías, mejora constante ([sdggroup.com][1])
* 🧠 **Espíritu emprendedor**
  → buscan iniciativa y autonomía ([sdggroup.com][2])
* 🤝 **Trabajo en equipo**
  → colaboración fuerte con clientes y equipos ([sdggroup.com][1])
* 🏆 **Meritocracia**
  → crecimiento por rendimiento ([sdggroup.com][1])
* 🔍 **Transparencia / integridad**
  → honestidad en procesos y decisiones ([sdggroup.com][1])
* 📈 **Excelencia y calidad**
  → foco en resultados y entregables sólidos ([sdggroup.com][1])
---
### 🧠 Lectura rápida
👉 Cultura:
* orientada a cliente
* técnica (data/IA)
* exigente y basada en rendimiento
[1]: https://www.sdggroup.com/es-es/about-us?utm_source=chatgpt.com "About Us"
[2]: https://www.sdggroup.com/es-mx/about-us?utm_source=chatgpt.com "About Us - Parent Page"
</t>
  </si>
  <si>
    <t xml:space="preserve">### 🎯 Perfil que buscan (SDG Group)
* 🧠 **UX/UI senior (+5 años)**
* 📊 **Data-heavy mindset**
  → dashboards, tablas, sistemas complejos
* 🧩 **End-to-end + delivery**
  → de requerimientos a handoff
* 🧱 **Design systems (Figma avanzado)**
* 🤝 **Consulting mindset**
  → tratar con clientes, varios proyectos
* ⚡ **Pragmático / rápido**
  → tiempos ajustados, priorización
* 💬 **Comunicación clara**
  → defender decisiones
---
### 🧠 Traducción
👉 Perfil:
* técnico
* resolutivo
* orientado a cliente
👉 Menos:
* producto propio
  👉 Más:
* **delivery + consultoría**
</t>
  </si>
  <si>
    <t>https://www.linkedin.com/jobs/collections/recommended/?currentJobId=4400496739&amp;discover=recommended&amp;discoveryOrigin=JOBS_HOME_JYMBII</t>
  </si>
  <si>
    <t>Mercuryo</t>
  </si>
  <si>
    <t>Remote</t>
  </si>
  <si>
    <t>Londres
Valencia</t>
  </si>
  <si>
    <t xml:space="preserve">## 🎯 Fit contigo
**⚖️ Medio (tirando a exigente)**
---
## 👍 Lo que encaja
* ✔️ Producto complejo (fintech / sistemas → muy alineado contigo)
* ✔️ Design systems + Figma avanzado → lo tienes
* ✔️ Trabajo con devs / handoff → lo haces ya
* ✔️ Remote-first → encaja con lo que buscas
* ✔️ Entorno tech real (no marketing/consultoría pura)
---
## ⚠️ Donde flojea para ti
* ❗ **5+ años en producto “maduro”**
  → tú tienes experiencia sólida, pero no exactamente en ese contexto fintech puro
* ❗ **Crypto / fintech knowledge**
  → aquí partes de 0 (no es trivial)
* ❗ **Perfil “maker puro” (execution heavy)**
  → buscan alguien muy hands-on en producto, menos conceptual/estratégico
* ❗ Nivel bastante alto (no junior-mid)
---
## 💰 Salario esperado (importante)
👉 Este tipo de empresa suele estar en:
**€50k – €70k+**
---
## 🧠 Conclusión clara
* ✔️ **Sí aplicaría**, pero sin expectativas altas
* ✔️ Buena para subir nivel y meterte en producto serio
* ❗ No es la más alineada contigo ahora mismo
---
## 🎯 Lectura rápida
* Si quieres → **producto tech serio + dinero → sí**
* Si quieres → **fit natural + menos fricción → no es la mejor**
</t>
  </si>
  <si>
    <t xml:space="preserve">👉 Te dejo el overview claro y útil (sin ruido):
## 🧠 Qué es Mercuryo
* Empresa **fintech (tecnología financiera)** enfocada en **crypto + pagos**
* Fundada en **2018**
* Sede principal en **Londres** ([internationalfintech.com][1])
* ~200–500 empleados ([LinkedIn][2])
---
## 💡 Qué hace
* Plataforma que conecta:
  * dinero tradicional (fiat)
  * criptomonedas (Web3)
* Permite a empresas:
  * aceptar pagos en crypto
  * convertir fiat ↔ crypto
  * integrar pagos vía API ([internationalfintech.com][1])
👉 Básicamente:
**infraestructura de pagos para productos crypto**
---
## 🚀 Producto (lo importante para ti)
* On-ramp: comprar crypto fácilmente
* Pagos / tarjetas crypto
* Integración en apps (wallets, exchanges)
* UX clave: onboarding, pagos, conversión
👉 Es **producto real, complejo y técnico** (no marketing)
---
## 📊 Contexto
* +500 empresas Web3 como clientes ([mercuryo.io][3])
* +12M usuarios onboarded ([mercuryo.io][3])
* Partners: MetaMask, Ledger, Trust Wallet ([LinkedIn][2])
---
## 🧭 Tipo de empresa
* B2B (principalmente)
* Muy **product-driven**
* Entorno **internacional y técnico**
* Enfocada en crecimiento (startup scale-up)
---
## ⚠️ Lo que implica
* Dominio fintech/crypto (curva de entrada)
* Producto complejo (flows, edge cases)
* Trabajo muy pegado a dev/data
---
## 🎯 Traducción para ti
👉 No es:
* agencia
* consultora
👉 Es:
**empresa de producto tech seria (nivel alto)**
---
Si quieres, te comparo esta con Bizneo / OLX / SDG en una tabla rápida para ver cuál te conviene más estratégicamente.
[1]: https://internationalfintech.com/company/mercuryo/?utm_source=chatgpt.com "Mercuryo - International FinTech"
[2]: https://co.linkedin.com/company/mercuryo-io?utm_source=chatgpt.com "Mercuryo | LinkedIn"
[3]: https://mercuryo.io/?utm_source=chatgpt.com "Enhancing payment use case growth. Cryptopowered by Mercuryo"
</t>
  </si>
  <si>
    <t>Customer-first
→ priorizan al usuario incluso si es más complejo para ellos
Hacer lo correcto (integridad)
→ accesibilidad + decisiones honestas y responsables
Execution / “get things done”
→ foco en lanzar, iterar y avanzar rápido
Innovación constante (tech &amp; Web3)
→ romper lo tradicional y construir soluciones nuevas
Mentalidad global
→ equipo distribuido, diversidad cultural
Ownership &amp; autonomía
→ esperan que tomes decisiones y propongas mejoras
Aprendizaje continuo
→ industria cambiante → necesitas adaptarte rápido</t>
  </si>
  <si>
    <t>🎯 Perfil Mercuryo
Senior product designer (5+ años)
→ no junior-mid, buscan alguien ya sólido
Muy execution / hands-on
→ “maker”, alguien que diseña, prototipa y entrega, no solo piensa
Experiencia en producto complejo
→ fintech / sistemas / flows complejos (muchos edge cases)
Muy cercano a dev
→ handoff, constraints técnicos, iteración con ingeniería
Figma muy avanzado
→ prototipos complejos + design systems + automatizaciones
Multiplataforma
→ web + mobile + posiblemente desktop
🧠 Soft skills (clave aquí)
Comunicación clara + storytelling
Saber defender decisiones con criterio
Alta inteligencia emocional (feedback, colaboración)
Capacidad de cuestionar a PMs/engineers si hace falta
🚀 Mentalidad que buscan
Ownership total
→ actúas como mini product owner
Fast-paced / startup
→ moverte rápido, iterar, no bloquearte
Data + research
→ no diseñar por intuición solo
Curiosidad tech (AI / crypto)
→ no necesitas saberlo todo, pero sí interés real</t>
  </si>
  <si>
    <t>##- Yes! You can reply directly to this email within 30 days and Denis will get it. Just make sure it’s above this line so we can read it right. -##
Hi Zainab,
Thank you for your interest in Mercuryo!
We received an overwhelming response to the Product Designer position, which makes us feel both humble and proud that so many talented individuals (like you!) want to join our team. This volume of response makes for an extremely competitive selection process. Although your background is impressive, we regret to inform you that we have decided to pursue other candidates for the position at this time.
Just as we at Mercuryo value our customers, we value our job candidates and invite you to review future job openings. We hope you see another position that sparks your interest!
Best wishes,
Denis Mironov
Recruiter
Mercuryo Recruiting Team
______________________________________________________________________________________________________________________________________________________
A. Z.
0:20 (hace 2 minutos)
para dc4+job+2332b02b2da576a90bdc194031e764684fdf21b6+278922
Hi Denis,
Thank you for your message and for considering my application.
I appreciate the feedback and understand the decision. I still remain very interested in Mercuryo and the type of product you’re building.
If there are future opportunities where my profile could be a better fit, I’d be glad to be considered.
Best,
Zainab
__________________________________________________________________________________________________
Por qué no te han cogido (probable)
Competencia muy alta
100+ candidatos
siempre hay perfiles más específicos para ese rol concreto
Alineación exacta con el rol
Mercuryo → fintech / crypto
buscan gente con ese contexto o muy data-driven
Señales de impacto
priorizan métricas claras (retention, conversion, etc.)
tu portfolio comunica bien proceso, menos impacto cuantificado
Tipo de producto
ellos → producto maduro, ejecución rápida
tú → más mezcla de sistema + conceptual + educativo</t>
  </si>
  <si>
    <t xml:space="preserve">UX/UI Designer </t>
  </si>
  <si>
    <t>LHH</t>
  </si>
  <si>
    <t>Málaga</t>
  </si>
  <si>
    <t>40 k</t>
  </si>
  <si>
    <t>Encaje: ALTO (buena oportunidad para ti)
✅ Por qué encaja contigo
✔️ SaaS / CRM / producto complejo → lo que ya haces
✔️ End-to-end real → no solo UI
✔️ Design systems + Figma → tu fuerte
✔️ Colaboración con dev + producto → ya tienes experiencia
👉 Es literalmente tu perfil actual bien aplicado
💰 Salario
~40k
👉 subida limpia desde 32k
(no te están bajando ni lateralizando)
⚠️ Lo único a vigilar
📍 Híbrido Málaga
no es remoto real
tendrás que negociar o moverte
🧩 Producto interno (CRM)
menos “inspiracional”
más funcional / negocio
🎯 Comparado con otras
Mejor que: Simera, Claire Joster
Más realista que: OLX, Mercuryo
👉 De las más equilibradas ahora mismo</t>
  </si>
  <si>
    <t>🏢 Empresa (LHH)
👉 Qué es:
Consultora global de talento (parte de Adecco Group)
No es una empresa de producto tech como tal
🧩 Qué hacen
Selección de perfiles (recruiting / headhunting)
Desarrollo profesional (coaching, liderazgo)
Outplacement (cambio de carrera)
Consultoría organizacional
👉 En esta oferta:
LHH solo recluta
Trabajarías para una empresa IT de producto (cliente suyo)
⚠️ Importante para ti
No estás entrando en “LHH producto”
Estás entrando en:
👉 producto digital de otra empresa (SaaS / CRM)</t>
  </si>
  <si>
    <t>People first → foco en personas y desarrollo
Aprendizaje continuo → crecimiento profesional constante
Colaboración → trabajo en equipo y co-creación
Responsabilidad (ownership) → autonomía y compromiso
Impacto positivo → mejorar carreras y organizaciones
🧠 Traducción real (lo que implica)
Cultura bastante corporate / consultora
Enfoque en talento y rendimiento
Menos “producto puro”, más servicio + negocio</t>
  </si>
  <si>
    <t>🎯 Perfil que buscan (resumen claro)
👉 Product Designer mid–senior con base UX fuerte
🧠 Core
End-to-end (research → UI → handoff)
Experiencia en SaaS / producto complejo
Pensamiento funcional (resolver problemas, no solo estética)
Trabajo con dev + producto
🧩 Skills clave
Figma avanzado
Design systems
UX (flows, IA, usabilidad)
Accesibilidad básica
🧠 Mindset
Analítico (simplificar complejidad)
Autónomo
Orientado a usuario + negocio
Capaz de argumentar decisiones</t>
  </si>
  <si>
    <t>https://www.linkedin.com/jobs/collections/top-applicant/?currentJobId=4400773545</t>
  </si>
  <si>
    <r>
      <rPr>
        <rFont val="Arial"/>
        <color theme="1"/>
      </rPr>
      <t>Lo he escogido como top 3 choice. 
He enviado un mensaje den plan cover letter.
he escrito a</t>
    </r>
    <r>
      <rPr>
        <rFont val="Arial"/>
        <b/>
        <color rgb="FFFF0000"/>
      </rPr>
      <t xml:space="preserve"> Carlos de Sola Ruiz</t>
    </r>
    <r>
      <rPr>
        <rFont val="Arial"/>
        <color theme="1"/>
      </rPr>
      <t>, tenemos muchos contactos de Plytix y tenemos a Angela González Fernández (con quien vi el proceso de Veriff en 2022)
He recibido un correo de Accedo solicitandome mantener mi informacion
Hola Carlos! 
Encantada, me llamo Zainab. Veo que tenemos un montón de contactos en común de Plytix, ¿has trabajado ahí también? Acabo de aplicar a la oferta de UX/UI que has compartido, la cual me ha llamado mucho la atención; ya que encaja muy bien con mi experiencia en SaaS y diseño de producto end-to-end, además de que busco una empresa con una buena cultura de producto. 
Actualmente estoy en Madrid, pero estaría abierta a ver cómo encajar si hay buen fit. 
Encantada de conectar y conocer más sobre el rol.
Un saludo,</t>
    </r>
  </si>
  <si>
    <t>UX/UI Designer</t>
  </si>
  <si>
    <t>Between Technology</t>
  </si>
  <si>
    <t>Remoto, horario flexible</t>
  </si>
  <si>
    <t xml:space="preserve">2 -3 </t>
  </si>
  <si>
    <t>No lo sé, igual es 30k - 38</t>
  </si>
  <si>
    <t>🧠 Evaluación clara
👉 Encaje: MEDIO (pero no ideal para ti ahora)
✅ Lo bueno
✔️ 100% remoto → muy alineado contigo
✔️ Producto + design systems
✔️ End-to-end básico (flows, prototipos, MVP)
✔️ Estabilidad + formación
❌ Lo que falla
🚫 Nivel bajo (2–3 años)
→ estás por encima
🚫 Consultora / outsourcing
→ no producto propio
→ menos ownership real
🚫 Rol más execution que estrategia
→ menos impacto que lo que buscas
⚠️ Riesgos
Te infra-posiciona (te verán más junior de lo que eres)
Salario probablemente:
👉 30k–38k (no subes mucho desde 32k)
Proyectos variables (dependes de cliente)</t>
  </si>
  <si>
    <t>🧩 Qué es
Consultora tecnológica española
Hace outsourcing + proyectos IT
Trabaja con clientes (no producto propio)
🛠️ A qué se dedican
Desarrollo software
Data / BI
Ingeniería
UX/UI (como este rol)
Between Labs → proyectos internos (menos frecuentes)
🧠 Cómo funciona (importante)
👉 Te contratan ellos, pero:
trabajas para clientes externos
puedes cambiar de proyecto</t>
  </si>
  <si>
    <t>Valores (implícitos)
Crecimiento profesional
Formación continua
Flexibilidad (remoto)
Trabajo en equipo</t>
  </si>
  <si>
    <t>🎯 Perfil que buscan (claro y directo)
👉 UX/UI Designer mid (tirando a junior)
🧠 Core
Diseño de interfaces + UX básico
Crear flows, wireframes, prototipos
Aplicar (no crear) design systems
Colaborar con dev y PO
🧩 Skills clave
Figma
Buen ojo visual (UI)
UX básico (usabilidad, flujos)
Algo de research / validación
🧠 Mindset
Ejecutador (hacer, no tanto definir estrategia)
Colaborativo
Flexible (adaptarse a proyectos/clientes)</t>
  </si>
  <si>
    <t>https://www.linkedin.com/jobs/view/4404079166/</t>
  </si>
  <si>
    <t>Bending Spoons
MEETUP</t>
  </si>
  <si>
    <t>Milan
London
Madrid
Warsaw</t>
  </si>
  <si>
    <t>IDK la mayoría está entre 3 - 6</t>
  </si>
  <si>
    <t>--</t>
  </si>
  <si>
    <t>🧗‍♂️ First Ascent
👉 Retreat exclusivo para talento top (ingenieros / perfiles tech)
Viaje a Milán (todo pagado)
Networking + retos
Muy competitivo
👉 objetivo: reclutar talento top
🧠 Traducción:
“evento premium para captar gente muy buena”
🐇 Follow the White Rabbit
👉 Evento tipo networking + charla
En oficina (Milán)
Engineers hablando de producto
ambiente más informal (aperitivo)
🧠 Traducción:
“evento chill para conocer la empresa”
🧠 Synapse
👉 Evento de AI / research
Charlas de expertos en IA
más académico / técnico
🧠 Traducción:
“evento para gente muy técnica (AI)”
🎨 Designflows
👉 Competición de diseño
Retos de UX/UI en pocos días
foco en proceso + resolución
detectan talento en diseño
🧠 Traducción:
“challenge para diseñadores (muy tú)”
💻 Codeflows
👉 (menos info pública, pero similar a Designflows)
orientado a devs
retos técnicos
🧠 Traducción:
“Designflows pero para código”
🚀 First Commit
👉 Hackathon / challenge de ingeniería
retos técnicos reales
experiencia tipo bootcamp
reclutamiento directo
🧠 Traducción:
“prueba intensa para developers”
🧩 Mine the Matrix
👉 CTF / hacking / ciberseguridad
retos tipo puzzle
enfoque security
competitivo
🧠 Traducción:
“competición de hacking”
🎯 TL;DR
First Ascent → elite / retreat
White Rabbit → networking
Synapse → AI
Designflows → diseño
Codeflows → dev
First Commit → coding challenge
Mine the Matrix → hacking
👉 Para ti:
el único realmente relevante sería Designflows</t>
  </si>
  <si>
    <t xml:space="preserve">### 🏢 Bending Spoons — info clara
---
## 🧠 Qué es
* Empresa tecnológica italiana (Milán)
* Modelo: **compran apps y las optimizan**
* No venden → **las operan a largo plazo**
---
## 📱 Productos
Gestionan apps grandes como:
* Meetup
* Remini
* Splice
* Evernote (adquirida)
👉 todas con millones de usuarios
---
## 🧩 Cómo trabajan
* Equipos **muy pequeños (high talent density)**
* Mucha autonomía
* Decisiones rápidas
* Foco obsesivo en:
  * métricas
  * performance
  * crecimiento
---
## 🤖 Muy importante (para ti)
* Integran **IA en todo**
* Esperan que diseñes + prototipes + pienses producto
* No solo UX/UI → **product thinker**
---
## ⚠️ Cultura real (sin filtro)
* Muy exigente
* Ritmo alto
* Alta presión
* Mucha responsabilidad
👉 pero:
* crecimiento rápido
* aprendizaje brutal
* salarios altos
---
## 🌱 Valores
* Ambición extrema
* Excelencia
* Ownership
* Impacto medible
* Mejora continua
---
## 🧭 Tipo de empresa
👉 mezcla de:
* startup (velocidad)
* * consultora (exigencia)
* * big tech (escala)
---
## 🎯 TL;DR
👉 Empresa top en producto
👉 Muy exigente
👉 Mucho crecimiento
👉 No para todo el mundo
---
Si quieres, te digo **si encajas a nivel cultural (no solo skills)**, que ahí está la clave real.
</t>
  </si>
  <si>
    <t>🧠 1. Ambición extrema
Quieren ser “una de las mejores empresas del mundo” / Alto estándar en todo
📈 2. Impacto medible Todo se mide: funnels, retención, crecimiento
Decisiones basadas en datos
⚙️ 3. Excelencia operativa Hacer las cosas rápido y bien, Optimización constante
eficiencia obsesiva
🧩 4. Ownership total: Responsabilidad individual alta, No esperan instrucciones → esperan iniciativa
🤝 5. Equipo por encima del ego: gana la mejor idea, colaboración real, feedback directo
🤖 6. Uso intensivo de IA: IA integrada en el trabajo diario, buscan velocidad + leverage
🌍 7. Crecimiento acelerado: aprender rápido, asumir responsabilidades pronto, progresión rápida si rindes</t>
  </si>
  <si>
    <t xml:space="preserve">### 🎯 Perfil que buscan (según la oferta, sin filtro)
👉 **Product Designer “high performer” (no UX/UI clásico)**
---
## 🧠 Core real
* Piensa como **product + negocio + diseño**
* Toma decisiones con **impacto medible**
* Se mueve rápido y ejecuta
---
## ⚙️ Lo que esperan que hagas
* Diseñar **end-to-end** (idea → producto real)
* Trabajar con:
  * PM
  * engineers
* Validar con:
  * usuarios
  * métricas (retention, funnels…)
* Priorizar lo que genera **más valor**
---
## 🤖 Muy clave (diferencial)
👉 No solo diseñador:
* usa **IA (LLMs)** desde el inicio
* prototipa incluso con código
* mezcla:
  * Figma
  * herramientas técnicas
---
## 🧩 Skills que buscan
* Pensamiento analítico fuerte
* Resolución de problemas complejos
* Velocidad + ejecución
* Comunicación clara
* Inglés fluido
---
## 🧠 Mindset
* Ambición alta
* Ownership total
* Resiliencia
* Cero ego (mejor idea gana)
---
## ⚠️ Lo importante
👉 No buscan:
* diseñador solo visual
* diseñador solo UX
* perfil pasivo
👉 Buscan:
**👉 “product builder” con mentalidad estratégica + ejecución**
---
## 🎯 TL;DR
👉 Designer + Product + Data + AI
👉 alto rendimiento + impacto
---
👉 Y esto es clave: tú estás **cerca**, pero no 100% ahí todavía (por eso es stretch).
</t>
  </si>
  <si>
    <t>https://jobs.bendingspoons.com/positions/69970a2579dbe4d52a84544a?utm_medium=job_post&amp;utm_source=linkedin&amp;utm_campaign=69e6bf0b863053fddef78053</t>
  </si>
  <si>
    <t xml:space="preserve">Perfecto, voy al grano contigo 👇
## 🧠 Encaje cultural contigo (honesto)
### ✅ Donde encajas MUY bien
* **Ambición**
  * quieres crecer
  * no te conformas
    → ✔️ muy Bending Spoons
* **Resiliencia**
  * tu historia lo demuestra
    → ✔️ encaja totalmente
* **Curiosidad / aprendizaje constante**
  * haces mil cosas para mejorar
    → ✔️ les encanta eso
* **No te da miedo salir de zona de confort**
  → ✔️ clave para ellos
---
### ⚠️ Donde puede haber fricción
* **Entorno muy frío / poco emocional**
  * son muy:
    * analíticos
    * directos
    * poco “human warmth”
👉 tú eres:
* más expresiva
* más emocional / humana
---
* **Obsesión por métricas**
  * todo se mide
  * todo se optimiza
👉 tú estás ahí, pero:
* más fuerte en sistema / experiencia
* menos en data pura
---
* **Nivel de exigencia constante**
  * no hay “descanso mental” real
👉 con tu contexto (energía, salud):
* puede ser intenso
---
### ❗ Riesgo real
👉 No es “no encajas”
👉 Es:
**puede ser muy potente para ti… o quemarte**
---
### 🎯 Veredicto
👉 **Encaje cultural: 7.5 / 10**
* ✔️ potencial alto
* ⚠️ exigencia muy alta
---
### 🧭 Traducción clara
👉 Si entras:
* creces MUCHO
* pero no es cómodo
---
### 🎯 TL;DR
👉 Sí encajas
👉 Pero es entorno exigente de verdad
👉 Es más “reto” que “fit cómodo”
---
Si quieres, te digo algo clave:
👉 **si te conviene ahora o en 1 año** (eso cambia mucho la estrategia).
</t>
  </si>
  <si>
    <r>
      <rPr>
        <rFont val="Arial"/>
        <color rgb="FF434343"/>
        <u/>
      </rPr>
      <t xml:space="preserve">Filippo Donisi VP of product design es profesor en IED Milan
He escrito a </t>
    </r>
    <r>
      <rPr>
        <rFont val="Arial"/>
        <b/>
        <color rgb="FFFF0000"/>
        <u/>
      </rPr>
      <t>Alex Landra</t>
    </r>
    <r>
      <rPr>
        <rFont val="Arial"/>
        <color rgb="FF434343"/>
        <u/>
      </rPr>
      <t xml:space="preserve">
· 3rd
Product Design Lead at Bending Spoons</t>
    </r>
  </si>
  <si>
    <t>CNTXT AI</t>
  </si>
  <si>
    <t>EMEA</t>
  </si>
  <si>
    <t>Piden 3–5 años; encaje bastante bueno contigo</t>
  </si>
  <si>
    <t>35–50k € aprox (contract, variable según mercado)</t>
  </si>
  <si>
    <t>Rol interesante en producto AI, bastante ownership, mezcla de ejecución + visión de diseño</t>
  </si>
  <si>
    <t>Startup AI en crecimiento, entorno rápido, menos estructura pero más impacto</t>
  </si>
  <si>
    <t>Encaje alto (75–85%); alineado en UX, sistemas, research y producto; buen punto de salto a AI</t>
  </si>
  <si>
    <t>Startup de productos AI con foco en lenguaje, automatización y escalabilidad</t>
  </si>
  <si>
    <t>Velocidad, impacto, crecimiento, user-centric, innovación</t>
  </si>
  <si>
    <t>Encaje fuerte en UX end-to-end, accesibilidad, sistemas; podrías aportar estructura en caos</t>
  </si>
  <si>
    <t>Rol en entorno poco estructurado; requiere autonomía y tolerancia a ambigüedad</t>
  </si>
  <si>
    <t>https://www.linkedin.com/jobs/view/4405680242/?trk=eml-email_application_confirmation_with_nba_01-applied_jobs-0-jobcard_body_4405680242&amp;refId=rIcSBcbzQu%2BuDMlQqv0LJQ%3D%3D&amp;trackingId=ds6bzlp4SAuWWsYLiLUFRg%3D%3D</t>
  </si>
  <si>
    <t>Buena oportunidad para pivotar a AI y ganar ownership real</t>
  </si>
  <si>
    <r>
      <rPr>
        <rFont val="Arial"/>
        <b/>
        <color rgb="FFFF0000"/>
      </rPr>
      <t xml:space="preserve">Saif Bitar
</t>
    </r>
    <r>
      <rPr>
        <rFont val="Arial"/>
        <color theme="1"/>
      </rPr>
      <t>Hello Saif,
I applied recently to CNTXT AI and wanted to reach out. I’m especially interested in your approach to AI through language and cultural nuance — particularly how that translates into real product decisions and user experience.
I come from UX/UI in SaaS and educational platforms, working on complex systems with multiple user types. I’ve led research, defined flows, and built design systems, always linking design decisions to product outcomes. I tend to focus on structuring complexity and making interactions clear and usable at scale.
Happy to connect.</t>
    </r>
  </si>
  <si>
    <t>Opción bastante alineada contigo y buen equilibrio entre reto y accesibilidad</t>
  </si>
  <si>
    <t>✅</t>
  </si>
  <si>
    <t>YO IT CONSULTING</t>
  </si>
  <si>
    <t>Valence</t>
  </si>
  <si>
    <t>4 - 10</t>
  </si>
  <si>
    <t>70 - 120.000</t>
  </si>
  <si>
    <t xml:space="preserve">### 🧠 Evaluación clara
👉 **Encaje: ALTO (muy alineada contigo)**
Encaja muy bien porque es SaaS/B2B complejo, trabajo end-to-end, design systems, Figma avanzado y colaboración con producto y dev. Es básicamente tu perfil aplicado.
### 💰 Salario
El rango es $70k–$120k (~€65k–€110k). Para ti lo realista es €70k–€90k, un salto grande desde 32k.
### ⚠️ Lo importante
Hay overlap con PST, lo que implica trabajar tardes/noches en España. Además, es startup/consultora tech y no está claro producto, equipo o estabilidad, así que hay cierta incertidumbre.
### ❌ Riesgos
El horario puede quemarte, la empresa no es del todo transparente y al ser “senior” las expectativas serán altas.
### 🧭 Comparación
Es mejor fit técnico que otras opciones como LHH (más estable) o Bending Spoons (más nivel pero más difícil).
### 🎯 Veredicto
👉 **Sí, muy buena para ti**, pero valida bien horario y empresa.
### 🎯 TL;DR
👉 Encaje: 8.5/10
👉 Sueldo: alto
👉 Riesgo: horario + claridad empresa
Si quieres, te digo qué red flags mirar antes de seguir.
</t>
  </si>
  <si>
    <t xml:space="preserve">### 🏢 YO IT Consulting — info clara
👉 Es una **consultora tecnológica** (no producto propio).
---
### 🧠 Qué hacen
* Colocan talento en proyectos de clientes (muchas veces USA)
* Trabajo remoto + equipos distribuidos
* Enfoque en software / SaaS / dev
---
### ⚙️ Cómo funciona
* Te contratan ellos
* Trabajas para **clientes externos**
* Puedes cambiar de proyecto
---
### ⚠️ Señales a tener en cuenta
* Marca poco conocida
* Info limitada sobre producto/equipo
* Suelen vender como “startup”, pero es más **outsourcing**
---
### 🎯 Traducción real
👉 Buen salario + remoto
👉 Menos estabilidad / menos ownership de producto
</t>
  </si>
  <si>
    <t xml:space="preserve">### 🌱 Valores de YO IT Consulting (lectura real)
👉 No están muy definidos públicamente, pero por el tipo de empresa se deduce:
* **Entrega y ejecución** → sacar trabajo rápido para clientes
* **Adaptabilidad** → cambiar de proyecto / contexto
* **Colaboración con equipos distribuidos** → remoto, internacional
* **Orientación a cliente** → priorizar necesidades externas
* **Calidad técnica / diseño** → cumplir estándares del cliente
---
### ⚠️ Traducción real
👉 No es cultura fuerte de producto, es más:
* servicio
* eficiencia
* flexibilidad
</t>
  </si>
  <si>
    <t xml:space="preserve">Buscan algo bastante concreto, no genérico:
* **4+ años reales** en producto digital (no solo visual/web)
* Experiencia en **SaaS o B2B complejo** (flows largos, dashboards, herramientas)
* Capacidad de llevar **end-to-end**: discovery → flows → UI final → handoff
* **Figma avanzado**: componentes, auto-layout, prototipos, design systems
* Haber **creado o mantenido design systems** (no solo usarlos)
* Traducir **workflows complejos en interfaces simples**
* Trabajo directo con **PM + engineers** (no en silo)
* Nivel alto de **detalle visual (pixel-perfect)**
* Haber hecho **usability testing** e iterar con feedback
* Pensamiento de **producto + usuario**, no solo estética
* Comodidad en **entornos rápidos y ambiguos (startup)**
* Plus: entender **frontend (React/CSS)** y accesibilidad
👉 En resumen: **designer que ejecuta fuerte en producto complejo, no solo UI bonito**
</t>
  </si>
  <si>
    <t>https://yohrconsultancy.hiresome.ai/apply_form/senior-ui-ux-designer-remote-69e610534636017ceae59669?utm_source=linkedin</t>
  </si>
  <si>
    <t>He tenido una entrevista con IA</t>
  </si>
  <si>
    <t>Balance</t>
  </si>
  <si>
    <t>Híbrido / remoto</t>
  </si>
  <si>
    <t>Piden 5+ años y perfil muy completo (producto, research, sistemas, negocio); tú estás muy cerca aunque no cumplas exacto</t>
  </si>
  <si>
    <t>40–60k € aprox + posible equity (startup early stage)</t>
  </si>
  <si>
    <t>Muy potente: producto real, impacto directo, end-to-end, ownership total, diseño como parte estratégica (no decoración). Mucho foco en comportamiento, métricas y decisiones reales. Alto nivel pero muy alineado contigo.</t>
  </si>
  <si>
    <t>Startup healthtech con funding reciente (seed), problema real y relevante. Riesgo mayor que consultora, pero mucho más potencial de crecimiento y aprendizaje. Cultura exigente pero interesante.</t>
  </si>
  <si>
    <t xml:space="preserve">### 🧠 Evaluación
👉 **Encaje: ALTO (muy buena para ti)**
---
### ✅ Por qué encaja
Es producto real, complejo (health + dashboard + paciente), end-to-end, design systems, research y trabajo con equipos → todo lo que ya haces. Además buscan **product thinking + impacto**, no solo UI → alineado contigo.
---
### ⚠️ Lo que suben de nivel
Piden:
* impacto medible (adherence, retention)
* ownership fuerte (casi primera diseñadora)
* algo de AI workflows
👉 aquí estás cerca, pero tendrás que **defenderlo bien**
---
### ❌ Riesgos
* startup early (seed) → incertidumbre
* mucha responsabilidad (no es rol cómodo)
* presión (health + outcomes reales)
---
### 💰 Salario
👉 no lo dicen, pero:
* estimación: **45k–65k**
* quizá equity
👉 menos que la otra, pero mejor fit producto
---
### 🧭 Veredicto
👉 **Muy buena opción estratégica para ti**
* mejor para crecer en producto
* más alineada que consultoras
---
### 🎯 TL;DR
👉 8/10 fit
👉 producto real + impacto
👉 menos dinero, más crecimiento
---
Si quieres, te digo **cómo posicionarte para destacar aquí (clave, porque encajas bastante)**
</t>
  </si>
  <si>
    <t>Startup que construye un sistema clínico para tratamiento de obesidad combinando producto digital, IA y equipos médicos. En crecimiento y con fuerte foco en impacto real.</t>
  </si>
  <si>
    <t>Impacto real, ownership, producto, rigor, outcomes vs estética, autonomía, aprendizaje rápido</t>
  </si>
  <si>
    <t>Tu perfil encaja muy bien: UX end-to-end, research, sistemas, accesibilidad, estructuración y trabajo con stakeholders</t>
  </si>
  <si>
    <t>Te falta algo de experiencia en métricas de negocio/health y quizás en entornos startup, pero puedes compensarlo bien si lo enfocas a impacto y decisiones</t>
  </si>
  <si>
    <t>https://www.linkedin.com/jobs/view/4404817059/</t>
  </si>
  <si>
    <t>Muy buena oportunidad para crecer en producto real con impacto y posicionarte en health + UX estratégico</t>
  </si>
  <si>
    <r>
      <rPr>
        <rFont val="Arial"/>
        <b/>
        <color rgb="FFFF0000"/>
        <u/>
      </rPr>
      <t xml:space="preserve">Marta López
</t>
    </r>
    <r>
      <rPr>
        <rFont val="Arial"/>
        <color rgb="FF434343"/>
        <u/>
      </rPr>
      <t xml:space="preserve">
Senior Talent Acquisition Specialist
UX/UI Zainab
Hola Marta,
He aplicado recientemente a Balance y me interesó mucho vuestro enfoque, especialmente el foco en adherencia, métricas reales y el uso de AI en producto. Me parece muy alineado con cómo entiendo UX en contextos complejos.
Vengo de UX/UI en SaaS y plataformas educativas, trabajando sistemas, research y accesibilidad, y conectando decisiones de diseño con impacto en producto. Creo que puedo aportar estructura y claridad en ese tipo de retos.
Encantada de conectar :)
_______________________________________________________________________________________</t>
    </r>
  </si>
  <si>
    <t>De las mejores ofertas para ti: alto encaje, crecimiento fuerte, impacto real; más exigente pero muy alineada contigo</t>
  </si>
  <si>
    <t>Jobgether</t>
  </si>
  <si>
    <t>**Encaje: MEDIO (no ideal ahora)**
---
### ❌ Principal problema
👉 **“Staff” = nivel MUY senior**
Buscan alguien que: lidere visión de producto, defina estrategia,  influya en leadership, tenga impacto probado en negocio
👉 no es solo diseñar, es **liderar diseño a nivel org**
### ⚠️ Gap contigo
* tienes: buen end-to-end ✔️ SaaS ✔️systems ✔️
* pero falta: ownership a nivel compañía, mpacto medible fuerte, liderazgo estratégico real
 Este rol es: Senior++ / Staff / quasi Head of Design**
👉 Tú estás en: mid / mid+**
❌ Riesgo te descarten rápido por nivel, proceso exigente para algo no alineado
💰 Lo bueno: salario alto, equity, remoto
👉 pero no compensa si no encajas
 🧭 Veredicto
👉 **No prioritaria: puedes aplicar si quieres probar, pero no es tu mejor apuesta</t>
  </si>
  <si>
    <t>https://www.linkedin.com/jobs/collections/recommended/?currentJobId=4405977391&amp;discover=recommended&amp;discoveryOrigin=JOBS_HOME_JYMBII</t>
  </si>
  <si>
    <t>Diseñador/a UX/UI</t>
  </si>
  <si>
    <t>ALTEN</t>
  </si>
  <si>
    <t>España</t>
  </si>
  <si>
    <t>4 - 5</t>
  </si>
  <si>
    <t>25 - 45 k</t>
  </si>
  <si>
    <t>Muy enfocado a design systems, documentación y estandarización; menos producto, más sistema</t>
  </si>
  <si>
    <t>Consultora grande, proyectos variados; estable pero menos ownership de producto</t>
  </si>
  <si>
    <t>Encaja muy bien contigo porque piden justo lo que haces: 4–5 años, design systems, Figma, colaboración con frontend, accesibilidad, documentación. Es básicamente un rol de design system + producto donde estarías cómoda desde el día 1.
⚠️ Pero… Es ALTEN Spain → consultora
👉 Traducción real: trabajas para clientes, menos ownership de producto, más ejecución que estrategia
💰 Salario👉 probablemente 35k–50k
(no muy alto para tu siguiente salto)
❌ Riesgos te estanca en “execution / systems”, menos crecimiento en product thinking, proyectos variables
🧭 Veredicto: Buena opción segura (fallback), no es salto de nivel</t>
  </si>
  <si>
    <t>Multinacional europea de consultoría tecnológica e ingeniería, trabaja con grandes clientes; entorno corporativo, estable y estructurado</t>
  </si>
  <si>
    <t>Colaboración, crecimiento, estabilidad, profesionalización</t>
  </si>
  <si>
    <t>Muy buen encaje en design systems, documentación, accesibilidad y trabajo con dev</t>
  </si>
  <si>
    <t>Pierdes parte de producto/impacto directo; ganas en estructura y especialización</t>
  </si>
  <si>
    <t>https://www.linkedin.com/jobs/collections/recommended/?currentJobId=4404692805&amp;discover=recommended&amp;discoveryOrigin=JOBS_HOME_JYMBII</t>
  </si>
  <si>
    <t>Muy buen fit técnico; opción sólida si quieres especializarte en sistemas</t>
  </si>
  <si>
    <t>Muy alineada contigo en systems; menos producto, más corporativo pero estable</t>
  </si>
  <si>
    <t>UI/UX &amp; Visual Designer</t>
  </si>
  <si>
    <t>Reverse tech</t>
  </si>
  <si>
    <t>Barcerlona</t>
  </si>
  <si>
    <t>35 - 50 k</t>
  </si>
  <si>
    <t>Muy enfocado a CRO, funnels, marketing y rapidez; menos producto, más conversión y visual</t>
  </si>
  <si>
    <t>Startup/growth, muy orientada a resultados y performance; ritmo alto, cultura exigente</t>
  </si>
  <si>
    <t xml:space="preserve">Encaja contigo a nivel visual y systems, pero no es la mejor opción si quieres posicionarte como product designer; el rol está muy orientado a marketing, funnels, landing pages y conversión (CRO), más cerca de growth/marketing design que de producto complejo tipo SaaS. Podrías hacerlo bien porque tienes base sólida, pero te movería hacia branding + performance en lugar de producto end-to-end, así que solo tiene sentido si te interesa ese lado o necesitas algo rápido; como paso estratégico de carrera, es peor que opciones tipo Balance o SaaS B2B.
</t>
  </si>
  <si>
    <t>Performance, ownership, impacto, rapidez, growth mindset</t>
  </si>
  <si>
    <t>Más cercano a product/UX estructural que a marketing/CRO puro</t>
  </si>
  <si>
    <t>No tienes tanta experiencia en paid media ni funnels; sí en sistemas y estructura (punto a favor parcial)</t>
  </si>
  <si>
    <t>https://careers.reversegroup.io/jobs/5744224-ui-ux-visual-designer</t>
  </si>
  <si>
    <t>Puede servir para aprender growth/CRO, pero se aleja de tu foco de producto y accesibilidad</t>
  </si>
  <si>
    <t>Staff Product Designer</t>
  </si>
  <si>
    <t>Hospitable</t>
  </si>
  <si>
    <t>España / global</t>
  </si>
  <si>
    <t>Piden perfil muy senior (staff level, liderazgo, SaaS, visión producto); muy por encima de tu nivel actual</t>
  </si>
  <si>
    <t>120–180k € aprox + equity (muy alto)</t>
  </si>
  <si>
    <t>Rol de altísimo nivel: liderazgo de producto, visión estratégica, impacto directo en roadmap y experiencia global</t>
  </si>
  <si>
    <t>Empresa producto SaaS muy madura, cultura fuerte de ownership y transparencia; entorno exigente pero top</t>
  </si>
  <si>
    <t xml:space="preserve">Encaje bajo (40–50%); alineada en UX, sistemas y producto, pero gap fuerte en seniority, liderazgo y escala
Encaje bajo para ti ahora mismo. Es un rol **Staff**, que en la práctica es alguien que define visión de producto, influye en estrategia con liderazgo y tiene impacto demostrado a nivel negocio en SaaS; no es solo diseñar bien, es dirigir el diseño del producto. Tu perfil encaja en ejecución y sistemas, pero aún no en ese nivel de ownership y evidencia de impacto, así que te descartarían rápido o te pondrían muy por debajo del nivel esperado. El sueldo es alto (≈$148k–$200k+ + equity), pero está alineado con ese nivel senior extremo. Puedes aplicar como “tiro alto”, pero no es una apuesta realista ahora; mejor centrarte en senior product roles donde sí puedas competir y crecer.
</t>
  </si>
  <si>
    <t>Empresa SaaS global (Airbnb automation), cultura remote-first y muy orientada a producto</t>
  </si>
  <si>
    <t>Ownership, impacto, excelencia, autonomía, producto-first</t>
  </si>
  <si>
    <t>Encaje conceptual en UX y pensamiento estructural; falta experiencia liderando producto a gran escala</t>
  </si>
  <si>
    <t>Rol staff: requiere liderar visión, equipo y estrategia; no solo ejecución</t>
  </si>
  <si>
    <t>https://www.linkedin.com/jobs/view/4370990693/?trk=eml-email_application_confirmation_with_nba_01-applied_jobs-0-jobcard_body_4370990693&amp;refId=a4p43UTXSQq6aMiJl%2BcuKQ%3D%3D&amp;trackingId=TWYdFX0LRsmR3xZL7Y1fLg%3D%3D</t>
  </si>
  <si>
    <t>Muy aspiracional; buena para tantear nivel pero no realista ahora</t>
  </si>
  <si>
    <t>Rol top y empresa muy buena, pero claramente por encima de tu nivel actual</t>
  </si>
  <si>
    <t>✅
👤</t>
  </si>
  <si>
    <t>UX _ UI Designer (AI first)</t>
  </si>
  <si>
    <t>Puffy</t>
  </si>
  <si>
    <t>Global</t>
  </si>
  <si>
    <t>3- 5</t>
  </si>
  <si>
    <t>~60–65k € (70k USD + bonus)</t>
  </si>
  <si>
    <t>Muy enfocado a AI + CRO + e-commerce; ritmo alto, aprendizaje rápido, fuerte en ejecución y experimentación</t>
  </si>
  <si>
    <t>Empresa grande (e-commerce $1B+), cultura muy performance y exigente; entorno intenso tipo growth</t>
  </si>
  <si>
    <t>Encaja mejor que otras, pero con matices. Es un rol muy orientado a e-commerce + conversión + AI, no tanto a producto complejo tipo SaaS, pero sí pide cosas que tú tienes: trabajo end-to-end, estructurar flows, sistemas, colaboración con dev y además tu experiencia documentando IA (OCR + LLM) te suma bastante porque aquí lo “AI-first” es central.
El punto más débil es que buscan gente con impacto medible en negocio (conversion, A/B tests) y experiencia directa en e-commerce, que tú tienes más tangencial. Aun así, puedes defenderlo bien si enfocas tu experiencia hacia claridad, reducción de fricción y decisiones basadas en uso real.
La empresa tiene un tono bastante agresivo (“high-performers”, “go all-in”), lo que suele traducirse en ritmo alto y exigencia fuerte, pero también aprendizaje rápido. El salario (~$70k + bonus) está bien y alineado con tu salto.
👉 Veredicto: 7.5/10 para ti
Buena opción si te interesa crecer en AI + negocio, pero no es la más alineada con producto puro a largo plazo.</t>
  </si>
  <si>
    <t>Performance, ownership, velocidad, AI-first, experimentación</t>
  </si>
  <si>
    <t>Buen encaje en UX, sistemas y colaboración; falta experiencia directa en e-commerce y métricas de conversión</t>
  </si>
  <si>
    <t>Tienes base en AI (LLM, documentación), pero no uso intensivo diario en producto → punto a reforzar</t>
  </si>
  <si>
    <t>https://careers.puffy.com/roles/ux-ui-designer-(dubai)?source=li</t>
  </si>
  <si>
    <t>Muy buena oportunidad para pivotar a AI + producto comercial; exigente pero con crecimiento rápido</t>
  </si>
  <si>
    <r>
      <rPr>
        <rFont val="Arial"/>
        <color theme="1"/>
      </rPr>
      <t xml:space="preserve">👉 Hiciste la prueba técnica de Puffy
👉 Era formato cronometrado / tipo chat → te generó mucho estrés
👉 No estabas cómoda con el entorno
👉 Tus respuestas orales salieron peor de lo que realmente sabes
👉 Resultado: no pasaste
👉 Conclusión real:
No fue por falta de nivel, fue por formato + presión
👉 Traducción útil:
Encaje tienes, pero es un entorno muy exigente y rápido (como la oferta misma)
Por error me ha vuelto a escribir </t>
    </r>
    <r>
      <rPr>
        <rFont val="Arial"/>
        <b/>
        <color rgb="FFFF0000"/>
      </rPr>
      <t>Shreya K.</t>
    </r>
    <r>
      <rPr>
        <rFont val="Arial"/>
        <color theme="1"/>
      </rPr>
      <t xml:space="preserve"> La he respondido haciendome un poquito la tonta-</t>
    </r>
  </si>
  <si>
    <t>Rol potente y bien pagado; buen salto si quieres meterte en AI y producto orientado a negocio</t>
  </si>
  <si>
    <t>Product / UX Designer</t>
  </si>
  <si>
    <t>Garaje de ideas</t>
  </si>
  <si>
    <t>Madrid/barcelona</t>
  </si>
  <si>
    <t>Piden 4–5 años aprox; encajas bastante bien en rango</t>
  </si>
  <si>
    <t>35–45k € aprox</t>
  </si>
  <si>
    <t>Rol bastante completo dentro de consultoría: mezcla de discovery, conceptualización y ejecución. Tocarías research, flows, sistemas y cliente. Menos profundidad en producto continuo, más variedad de proyectos.</t>
  </si>
  <si>
    <t>Consultora de diseño bastante sólida en España, con enfoque estratégico + diseño. Cultura cuidada, bastante alineada con diseño como disciplina (no solo UI).</t>
  </si>
  <si>
    <t>Encaja muy bien contigo, es prácticamente tu perfil. Buscan 4–5 años, trabajo end-to-end, research, flows, design systems, defender decisiones y colaborar con equipos… todo eso ya lo haces en producto educativo y plataformas complejas, así que no estás forzando nada.
El “senior” aquí no es extremo, es más bien mid–senior en consultoría, y encajas bien ahí. Lo de mentorizar puede sonar más alto, pero no es imprescindible, puedes cubrirlo hablando de colaboración y apoyo a otros.
El contexto es importante: es consultora, así que trabajarás por proyectos con clientes grandes. Eso implica menos ownership continuo que en producto propio, pero más exposición, método y variedad. Para ti puede ser buen paso si quieres consolidar base de producto de forma estructurada.
No es una oferta de salto salarial enorme, probablemente esté en 40k–55k, pero sí es sólida y estable comparado con otras más “agresivas”.
👉 Veredicto: 9/10 para ti
Muy buen fit, realista y equilibra
Encaje alto (75–85%).
Es un muy buen fit contigo porque:
trabajan mucho discovery + research, que tú ya haces
valoran accesibilidad, sistemas y estructura, que es tu fuerte
tienen una visión de diseño bastante integral (negocio + usuario + tech), muy alineada contigo
Puntos a tener en cuenta:
es consultoría → menos ownership de producto a largo plazo
más exposición a cliente (presentaciones, defender decisiones) → en tu caso puede ser crecimiento
buen sitio para consolidar base y subir nivel estratégico
👉 No es la más ambiciosa en salario, pero sí muy sólida para posicionarte bien como product/UX designer completo.</t>
  </si>
  <si>
    <t>Consultora de diseño estratégico que cubre todo el ciclo de producto: desde estrategia hasta implementación, trabajando con grandes clientes</t>
  </si>
  <si>
    <t>Diseño honesto, impacto real, equilibrio negocio-usuario, calidad, colaboración, innovación</t>
  </si>
  <si>
    <t>Encaje muy bueno en research, sistemas, accesibilidad, estructuración y pensamiento de producto</t>
  </si>
  <si>
    <t>Muy alineado con cómo trabajas (estructura, claridad, proceso); buen sitio para crecer en storytelling y cliente</t>
  </si>
  <si>
    <t>https://www.garajedeideas.com/es/approach/design?utm_term=servicios%20ux&amp;utm_campaign=GDI-Search-Leadgen&amp;utm_source=adwords&amp;utm_medium=ppc&amp;hsa_acc=2024789598&amp;hsa_cam=23481485278&amp;hsa_grp=191337413466&amp;hsa_ad=793409709489&amp;hsa_src=g&amp;hsa_tgt=kwd-1210133178686&amp;hsa_kw=servicios%20ux&amp;hsa_mt=p&amp;hsa_net=adwords&amp;hsa_ver=3&amp;gad_source=1&amp;gad_campaignid=23481485278&amp;gbraid=0AAAAAou2ykr1q93KM-DYeMjPzIUxCgllC&amp;gclid=Cj0KCQjwh-HPBhCIARIsAC0p3ccxGFrdv3JMmmy0SjAsMfyNH7hLLKHlYSM5_Qtqfn2vpAtIsSGXi6MaAqKUEALw_wcB</t>
  </si>
  <si>
    <t>Muy buena opción estable y coherente contigo; menos “sexy” que startups, pero muy sólida para crecer bien</t>
  </si>
  <si>
    <r>
      <rPr>
        <rFont val="Arial"/>
        <color rgb="FF434343"/>
        <u/>
      </rPr>
      <t>He escrito a</t>
    </r>
    <r>
      <rPr>
        <rFont val="Arial"/>
        <b/>
        <color rgb="FFFF0000"/>
        <u/>
      </rPr>
      <t xml:space="preserve"> Rubén A</t>
    </r>
    <r>
      <rPr>
        <rFont val="Arial"/>
        <color rgb="FF434343"/>
        <u/>
      </rPr>
      <t xml:space="preserve">. Senior product designer
Hola Rubén! He aplicado a Garaje y me interesa mucho vuestro enfoque. Vengo de UX/UI en SaaS y educación, trabajando sistemas complejos, research y accesibilidad. Cualquier perspectiva por tu parte sería muy valiosa. Encantada de conectar :)
</t>
    </r>
    <r>
      <rPr>
        <rFont val="Arial"/>
        <b/>
        <color rgb="FFFF0000"/>
        <u/>
      </rPr>
      <t xml:space="preserve">María Peralvo
</t>
    </r>
    <r>
      <rPr>
        <rFont val="Arial"/>
        <color rgb="FF434343"/>
        <u/>
      </rPr>
      <t xml:space="preserve">
Hola María! He aplicado recientemente a Garaje de Ideas y quería presentarme brevemente. Trabajo en UX/UI en productos SaaS y educación, con foco en sistemas, research y accesibilidad. Me interesa mucho vuestro enfoque. Encantada de conectar :)</t>
    </r>
  </si>
  <si>
    <t>Buen fit realista: diseño estratégico + research + sistemas; crecimiento sólido aunque menos producto propio</t>
  </si>
  <si>
    <t>Senior Experience Designer</t>
  </si>
  <si>
    <t>Frog</t>
  </si>
  <si>
    <t>40 - 55 k</t>
  </si>
  <si>
    <t>Muy completo y estratégico: service + product + research + workshops + cliente; bastante exigente y con liderazgo</t>
  </si>
  <si>
    <t>Consultora top, proyectos grandes y complejos; buen nombre pero ritmo alto y exigencia</t>
  </si>
  <si>
    <t xml:space="preserve">Encaje medio-alto para ti, pero con matiz. No es exactamente tu rol natural, pero estás bastante cerca. Tú vienes más de **product design (UX/UI + sistemas)** y esto es **service design (más estratégico, más amplio, menos interfaz)**. Aun así, ya has trabajado cosas que encajan: flujos complejos, múltiples actores, colaboración con equipos, research, accesibilidad… todo eso conecta bien con service design.
El gap está en que aquí esperan más:
* journey maps, service blueprints, ecosystem thinking
* workshops con cliente
* visión más “sistema + negocio” que pantalla
👉 no es que no puedas, es que no es tu core todavía.
Lo bueno:
* frog es top → aprendizaje fuerte
* encaja con tu interés en lo sistémico y social
* te podría abrir una vía más estratégica
Lo menos alineado:
* menos UI/producto puro
* más consultoría + workshops
* necesitarías adaptar tu portfolio (muy importante)
👉 Veredicto: **7/10 para ti**
Buena si quieres evolucionar hacia service/estrategia. Menos si quieres seguir en product puro.
👉 Traducción clara:
No es tu mejor fit inmediato, pero sí una oportunidad interesante si te atrae ese giro.
</t>
  </si>
  <si>
    <t>frog es una consultora de diseño estratégico dentro de Capgemini Invent, enfocada en:
innovación
transformación digital
diseño de servicios y productos complejos
Trabajan con grandes empresas y proyectos internacionales.</t>
  </si>
  <si>
    <t>Innovación, colaboración, pensamiento sistémico, impacto, diseño estratégico</t>
  </si>
  <si>
    <t>Buen encaje en research, sistemas, accesibilidad y estructura; falta algo de liderazgo formal y service design puro</t>
  </si>
  <si>
    <t>Muy importante aquí:
storytelling
workshops
capacidad de “vender” ideas
👉 Si aplicas, el portfolio tiene que verse más estratégico, no solo diseño.</t>
  </si>
  <si>
    <t>https://www.linkedin.com/jobs/view/senior-experience-designer-at-frog-4403727468/</t>
  </si>
  <si>
    <t>Muy buena para posicionarte arriba, pero exigente; si entras, salto fuerte de nivel</t>
  </si>
  <si>
    <t>Lead Product Designer (Mobile)</t>
  </si>
  <si>
    <t>Airhelp</t>
  </si>
  <si>
    <t>Barcelona &amp; CO</t>
  </si>
  <si>
    <t>Piden nivel lead real:
ownership total de producto
liderazgo de diseño + influencia en estrategia
experiencia sólida en mobile a escala
👉 Bastante por encima de tu nivel actual</t>
  </si>
  <si>
    <t>~60k – 80k € (estimado, podría subir algo más)</t>
  </si>
  <si>
    <t>Rol muy potente, pero no es “senior normal”:
ownership total del producto mobile
impacto directo en:
engagement
growth
producto a gran escala
mezcla de:
estrategia
producto
ejecución
liderazgo
👉 Es literalmente alguien que define el producto, no solo lo diseña</t>
  </si>
  <si>
    <t>Producto real con tracción (1M descargas → buen dato)
Problema claro y tangible (viajes, disrupciones)
Cultura:
rápida
orientada a producto
bastante pragmática
👉 Buen sitio para product design de verdad (no consultoría)</t>
  </si>
  <si>
    <t>Encaje alto y muy realista para ti. Es justo tu perfil: product designer mid con foco en ejecución, end-to-end, Figma, sistemas y colaboración con producto/dev. Todo lo que piden (flujos, validación, research básico, design systems, traducir negocio a UX) ya lo haces en plataformas complejas, así que no vas forzada.
El contexto es interesante: producto + proyectos en un dominio complejo (aeronáutico), lo que encaja con tu capacidad de estructurar sistemas y flujos densos. No es puramente consultora ni puramente producto, está en medio, lo cual para crecer está bien.
Los únicos puntos a tener en cuenta: piden algo de e-commerce (no es tu core, pero es salvable) y la parte híbrida en Barcelona (eso sí es condicionante real). A nivel salarial, estará probablemente en 35k–45k, no es un salto enorme, pero es mercado estándar.
👉 Veredicto: 8.5/10 para ti
Muy buen fit, bastante alineada con tu experiencia y una opción sólida si te encaja la ubicación.</t>
  </si>
  <si>
    <t>AirHelp trabaja en productos para:
derechos de pasajeros
gestión de incidencias en vuelos
automatización de claims
Están evolucionando hacia un producto más inteligente y proactivo.</t>
  </si>
  <si>
    <t>autonomía
velocidad
producto-first
impacto real
pragmatismo</t>
  </si>
  <si>
    <t>Tú ahora estás más en:
UX/product designer mid–senior temprano
Este rol es:
lead consolidado</t>
  </si>
  <si>
    <t>Muy importante aquí:
AI workflows (lo mencionan explícito)
mentalidad de hipótesis
métricas (engagement, retention, growth)
👉 Esto es producto puro, no UX clásico</t>
  </si>
  <si>
    <t>https://apply.workable.com/airhelp/j/6B5964DFBA</t>
  </si>
  <si>
    <t>Buena referencia de hacia dónde crecer, pero no es jugada realista ahora mismo.</t>
  </si>
  <si>
    <t>Rol muy bueno y alineado con el tipo de producto que te interesa, pero requiere un nivel de liderazgo y ownership que aún no tienes. Es más un objetivo a 2–3 años que una opción actual.</t>
  </si>
  <si>
    <t>Senior Product Designer</t>
  </si>
  <si>
    <t>DuckDuckGo</t>
  </si>
  <si>
    <t>Global incluye Spain</t>
  </si>
  <si>
    <t>piden:
6+ años
2+ años en rol senior
experiencia en producto global (consumer)
👉 Bastante por encima de tu nivel actual</t>
  </si>
  <si>
    <t>~165k € (~178k USD) + equity</t>
  </si>
  <si>
    <t>Rol de alto impacto real:
ownership end-to-end
producto con millones de usuarios
problemas abiertos, ambiguos
fuerte componente de:
estrategia
experimentación
métricas
👉 No es UX → es product design senior puro</t>
  </si>
  <si>
    <t>Muy buen producto (privacidad → propósito claro)
Cultura:
autónoma
muy madura en producto
remote-first real
Empresa rentable (raro y positivo)
👉 De las mejores en producto a nivel global</t>
  </si>
  <si>
    <t>Encaje medio-bajo para ti ahora mismo. Es una empresa muy buena y el rol es top, pero el nivel es claramente senior alto en producto global. Piden 6+ años, experiencia en productos de consumo masivo (millones de usuarios), impacto medible fuerte y capacidad de liderar proyectos estratégicos de principio a fin. No es solo diseñar bien, es tomar decisiones de producto a gran escala.
Tú encajas en muchas cosas: end-to-end, sistemas, colaboración, pensamiento de producto… pero te falta ese salto de escala + impacto demostrado en métricas + experiencia en producto consumer grande. No es que no puedas hacerlo, es que aún no has tenido ese contexto.
El salario ($178k + equity) refleja justo eso: nivel muy alto, cercano a staff en muchas empresas.
👉 Veredicto: 6/10 para ti
Buen “stretch” si quieres probar, pero no es una apuesta realista como las otras. Mejor centrarte en roles mid–senior donde sí puedas competir y crecer.</t>
  </si>
  <si>
    <t>Empresa de privacidad digital:
buscador
navegador
productos privacy-first
Modelo basado en:
no tracking
confianza
experiencia simple</t>
  </si>
  <si>
    <t>privacidad
transparencia
autonomía
impacto real
calidad de producto</t>
  </si>
  <si>
    <t>Tu perfil:
mid–senior temprano
Este rol:
senior consolidado (casi staff)</t>
  </si>
  <si>
    <t>Muy importante aquí:
“agentic workflows” (uso avanzado de AI)
métricas y experimentación
escribir briefs (nivel producto alto)
👉 Es perfil muy completo, no solo diseño</t>
  </si>
  <si>
    <t>https://jobs.ashbyhq.com/duck-duck-go/776bd1c8-81aa-4719-8238-ba357e1f5271?utm_source=pbMkGlP0lv</t>
  </si>
  <si>
    <t>Muy buena empresa para ti en valores y tipo de producto, pero el nivel está bastante por encima.</t>
  </si>
  <si>
    <t>Gran fit en filosofía y tipo de producto, pero gap claro en seniority y escala. Es más un objetivo a medio plazo que una oportunidad real ahora mismo.</t>
  </si>
  <si>
    <t>Super Technologies
Superbet</t>
  </si>
  <si>
    <t>Híbrido
Remoto</t>
  </si>
  <si>
    <t>45 - 65 k</t>
  </si>
  <si>
    <t>Buen rol de producto end-to-end, fuerte en data, UX completo y optimización continua; exige bastante nivel y ritmo</t>
  </si>
  <si>
    <t>Empresa grande, internacional, muy orientada a performance y crecimiento; entorno exigente</t>
  </si>
  <si>
    <t>Encaje medio-alto (60–70%), buen salto pero algo aspiracional</t>
  </si>
  <si>
    <t>Performance, ownership, impacto, crecimiento, producto a escala</t>
  </si>
  <si>
    <t>Product designer con foco en UX, research, sistemas y colaboración cross-funcional</t>
  </si>
  <si>
    <t>Falta algo de motion y seniority formal, pero experiencia compensa bastante</t>
  </si>
  <si>
    <t>https://job-boards.eu.greenhouse.io/superbet/jobs/4776704101</t>
  </si>
  <si>
    <t>Buena oportunidad para subir nivel rápido, pero entorno exigente y competitivo</t>
  </si>
  <si>
    <t>UX/UI Designer / Product Designer</t>
  </si>
  <si>
    <t>MCA España</t>
  </si>
  <si>
    <t>Hibrido</t>
  </si>
  <si>
    <t>Madrid Barcelona</t>
  </si>
  <si>
    <t>Piden mid-level; encajas bien (incluso por encima en algunos puntos)</t>
  </si>
  <si>
    <t>Rol bastante generalista de UX/UI end-to-end; correcto pero poco definido, más ejecución que estrategia</t>
  </si>
  <si>
    <t>Consultora tecnológica/ingeniería, proyectos variados; estable pero con poco ownership de producto</t>
  </si>
  <si>
    <t>Encaje alto (75–85%), buen fit pero poco diferencial para crecer mucho</t>
  </si>
  <si>
    <t>Consultora internacional de ingeniería y tecnología, trabaja con grandes compañías industriales; entorno corporativo y técnico</t>
  </si>
  <si>
    <t>Crecimiento, estabilidad, tecnología, desarrollo profesional</t>
  </si>
  <si>
    <t>Encajas muy bien en UX, flows, systems, colaboración y end-to-end</t>
  </si>
  <si>
    <t>Puede quedarse algo básico para tu nivel; menos foco en accesibilidad y estrategia</t>
  </si>
  <si>
    <t>https://www.linkedin.com/jobs/view/4397475756/?trk=eml-email_job_alert_digest_01-primary_job_list-0-jobcard_body_0_jobid_4397475756_ssid_5198310161_fmid_dnyviv~mopgipw9~5p&amp;refId=wcevKSO3cicv%2BDm8d%2BsKog%3D%3D&amp;trackingId=ooNXlO2X2HBYkWb3jmqE%2Fg%3D%3D</t>
  </si>
  <si>
    <t>Buena opción segura, pero no especialmente estimulante ni diferencial</t>
  </si>
  <si>
    <t>Buen fit y estable, pero más básico; mejor como plan B que como objetivo principal</t>
  </si>
  <si>
    <t>Docplanner</t>
  </si>
  <si>
    <t>Piden 6+ años y liderazgo claro; tú estás por debajo</t>
  </si>
  <si>
    <t>50 - 70 k</t>
  </si>
  <si>
    <t>Muy completo y estratégico: producto a escala, data, research, design system y visión; alto nivel</t>
  </si>
  <si>
    <t>Muy buena: producto con impacto real (healthcare), cultura fuerte, internacional y madura</t>
  </si>
  <si>
    <t>Encaje medio-bajo (40–50%), rol demasiado senior para tu momento actual</t>
  </si>
  <si>
    <t>Impacto, empatía, accesibilidad, data-driven, crecimiento, diversidad</t>
  </si>
  <si>
    <t>Encajas en UX, research, accesibilidad y sistemas, pero falta seniority, escala y ownership estratégico</t>
  </si>
  <si>
    <t>Rol exige visión, métricas, liderazgo y experiencia en producto a gran escala</t>
  </si>
  <si>
    <t>Muy buena empresa pero rol alto; mejor target futuro que oportunidad real ahora</t>
  </si>
  <si>
    <t xml:space="preserve">Aplique en 2022. 
Arina Dobrowolska </t>
  </si>
  <si>
    <t>Gran fit a nivel valores y producto, pero seniority por encima de tu nivel actual</t>
  </si>
  <si>
    <t>✅
❌</t>
  </si>
  <si>
    <t>UX/UI Designer (Accessibility focus)</t>
  </si>
  <si>
    <t>Amaris Consulting</t>
  </si>
  <si>
    <t>Piden 5+ años con foco en accesibilidad; tú estás ligeramente por debajo en años pero muy bien posicionada por experiencia real en accesibilidad, research y sistemas</t>
  </si>
  <si>
    <t>38k – 48k € aprox (consultoría, puede variar según proyecto)</t>
  </si>
  <si>
    <t>Muy alineado contigo: UX end-to-end + accesibilidad como core (no accesorio). Combina research, diseño de flujos, UI y colaboración con stakeholders. Además, incluye auditorías, normativa (WCAG) y advocacy, que es justo donde tienes diferencial. Menos producto propio, más proyectos, pero con impacto real.</t>
  </si>
  <si>
    <t>Consultora internacional grande, estable, con muchos clientes y proyectos variados. Buen entorno para aprender, pero menos ownership continuo. Ritmo medio-alto dependiendo del cliente.</t>
  </si>
  <si>
    <t>Encaje alto (80–90%). Es de las ofertas más alineadas contigo ahora mismo, especialmente por accesibilidad + producto + research.</t>
  </si>
  <si>
    <t>Consultora tecnológica global (7.600+ empleados, 60+ países), trabaja para múltiples clientes en digital, telecom, life sciences y engineering. Modelo basado en proyectos.</t>
  </si>
  <si>
    <t>Inclusión, accesibilidad, crecimiento, aprendizaje continuo, colaboración, impacto global</t>
  </si>
  <si>
    <t>Product/UX/UI designer con fuerte base en research, sistemas, accesibilidad y estructuración de flujos complejos. Muy buen fit para este rol.</t>
  </si>
  <si>
    <t>Tu experiencia en OUP (accesibilidad, investigación, sistemas, stakeholders) encaja directamente. Solo refuerza ejemplos concretos de WCAG, auditorías o decisiones de accesibilidad.</t>
  </si>
  <si>
    <t>https://www.linkedin.com/jobs/view/4409020987/</t>
  </si>
  <si>
    <t xml:space="preserve">Muy buena oportunidad para posicionarte como perfil especializado en accesibilidad dentro de UX. Puede ser un paso estratégico claro.
Sí, esto cambia un poco la lectura.
**Resumen Glassdoor Amaris**
**Lo bueno:** parece una consultora grande y estable, con proyectos variados, posibilidad de remoto/híbrido, formación, seguro médico y cierta flexibilidad. Para aprender y especializarte en accesibilidad puede servir.
**Lo preocupante:** se repiten mucho estas quejas: salarios bajos, poco crecimiento real, poca subida salarial, desorganización, poco acompañamiento del manager, dependencia fuerte del cliente y riesgo de sentirte “un número”.
**Dato importante:** Product Designer en España aparece aprox. **35k–37k** en Glassdoor. Así que mi rango anterior de 38–48k quizá era optimista. Para esta oferta, pediría realista:
**38k–42k** si quieres posicionarte bien.
**35k–40k** si quieres ir más segura.
**Red flags a preguntar en entrevista:**
¿Qué cliente/proyecto sería?
¿Es contrato indefinido con Amaris o ligado al cliente?
¿Qué pasa si acaba el proyecto?
¿Quién sería mi manager real: Amaris o cliente?
¿Qué plan de carrera hay para UX/UI?
¿Hay equipo de diseño/accesibilidad o estaría sola?
¿Horas extra? ¿Se compensan?
**Veredicto actualizado:**
La oferta sigue siendo **muy buena por encaje técnico**, sobre todo por accesibilidad, pero la empresa tiene pinta de **consultora clásica**: útil como puente, no necesariamente como lugar ideal a largo plazo.
**Encaje:** 8/10
**Empresa:** 5.5–6/10
**Prioridad:** aplicar, pero filtrar muy bien en entrevista.
</t>
  </si>
  <si>
    <r>
      <rPr>
        <rFont val="Arial"/>
        <color theme="1"/>
      </rPr>
      <t xml:space="preserve">Me han enviado un mensaje generico. de pm.
</t>
    </r>
    <r>
      <rPr>
        <rFont val="Arial"/>
        <b/>
        <color rgb="FFFF0000"/>
      </rPr>
      <t xml:space="preserve">Gomez María
Chiara Salvaneschi </t>
    </r>
  </si>
  <si>
    <t>De las mejores opciones para ti ahora: encaje alto, accesibilidad como core y crecimiento claro en tu línea.</t>
  </si>
  <si>
    <t>Wave</t>
  </si>
  <si>
    <t>Spain</t>
  </si>
  <si>
    <t>Piden 8+ años y perfil senior muy sólido en mobile consumer product; tú estás por debajo</t>
  </si>
  <si>
    <t>Muy alto (hasta ~200k USD + equity, ajustado por país)</t>
  </si>
  <si>
    <t>Rol muy potente en producto real, con impacto masivo (millones de usuarios), mobile-first, research y decisiones críticas en contextos complejos. Nivel muy alto y exigente.</t>
  </si>
  <si>
    <t>Empresa top: misión fuerte (inclusión financiera), crecimiento brutal, cultura de producto muy madura. Alto impacto social + alto nivel técnico.</t>
  </si>
  <si>
    <t>Encaje medio-bajo (40–55%), pero MUY interesante estratégicamente.
No es tanto que “no encajes”, sino que el nivel que buscan es muy senior (8+ años + consumer mobile fuerte + velocidad + craft alto).
Dicho eso:
tienes buen match en research, accesibilidad, sistemas y pensamiento estructural
pero te faltan:
experiencia en producto consumer a gran escala
más seniority en ownership completo y velocidad de iteración
algo de craft visual/motion más avanzado
Esta oferta define muy bien hacia dónde podrías evolucionar. Es un target de futuro muy claro para tu perfil.
👉 Si aplicases:
no sería lo más probable entrar
pero sí podrías llamar la atención si posicionas bien impacto + accesibilidad + sistemas
👉 Valor estratégico:
altísimo para entender qué buscan empresas top de producto
muy alineado con tu interés en impacto real + inclusión</t>
  </si>
  <si>
    <t>Fintech que busca hacer África cashless, con millones de usuarios y fuerte crecimiento. Producto crítico en contextos reales (no “nice to have”).</t>
  </si>
  <si>
    <t>Impacto social, accesibilidad financiera, autonomía, velocidad, ownership, producto real</t>
  </si>
  <si>
    <t>Buen encaje en UX, research y accesibilidad; gap en seniority, escala y mobile consumer profundo</t>
  </si>
  <si>
    <t>Viajes a mercados (África), contexto complejo → aprendizaje brutal pero exigente</t>
  </si>
  <si>
    <t>https://www.wave.com/en/careers/job/5701173004/?source=LinkedIn</t>
  </si>
  <si>
    <t>Empresa increíble y rol top, pero aún un poco por encima; mejor como referencia de hacia dónde crecer</t>
  </si>
  <si>
    <t>Muy aspiracional: gran empresa y producto, pero seniority y escala aún por encima de tu nivel actual</t>
  </si>
  <si>
    <t>Quantum</t>
  </si>
  <si>
    <t>Piden perfil bastante completo con foco en B2C, marketing y flujos de venta; encajas parcialmente</t>
  </si>
  <si>
    <t>Rol bastante técnico y orientado a negocio digital (ventas, marketing, conversión). Menos producto profundo, más optimización de experiencia y contenido.</t>
  </si>
  <si>
    <t>Consultora de transformación digital grande, estable, con proyectos internacionales. Buen entorno para aprender, pero bastante estándar.</t>
  </si>
  <si>
    <t>Encaje medio (60–70%).
Encajas bien en:
UX, research, flows, sistemas
accesibilidad (lo mencionan → punto a favor tuyo)
trabajo con stakeholders
Pero:
el rol está bastante orientado a digital sales / marketing / contenido
menos foco en producto estructural o impacto profundo (tipo OUP o Balance)
más ejecución dentro de proyectos definidos
👉 Es buen fit funcional, pero no especialmente diferencial para ti.
👉 Comparado con otras:
mejor que roles muy de marketing puro
peor que Balance o Amaris en alineación contigo
👉 No te empuja especialmente hacia adelante, pero tampoco es mala opción.</t>
  </si>
  <si>
    <t>Consultora digital (Astek Group), enfocada en transformación digital, desarrollo y UX para clientes internacionales</t>
  </si>
  <si>
    <t>Innovación, diversidad, colaboración, crecimiento, orientación a negocio</t>
  </si>
  <si>
    <t>Buen encaje en UX estructural, research y accesibilidad; menos en marketing/conversión pura</t>
  </si>
  <si>
    <t>Piden SEO, CMS, contenido → no es tu foco principal</t>
  </si>
  <si>
    <t>https://www.linkedin.com/jobs/view/4390118070/?trk=eml-email_application_confirmation_with_nba_01-applied_jobs-0-jobcard_body_4390118070&amp;refId=zYu0NtMUTrmirK9rMLlxvg%3D%3D&amp;trackingId=%2Buqq%2FdjPRnKGm879QeSQCQ%3D%3D</t>
  </si>
  <si>
    <t>Correcta pero poco diferencial; útil si buscas estabilidad, menos si buscas especializarte</t>
  </si>
  <si>
    <t>MEH</t>
  </si>
  <si>
    <t>Buen encaje técnico pero no estratégico para tu crecimiento; opción secundaria</t>
  </si>
  <si>
    <t>Diseñador UX/UI</t>
  </si>
  <si>
    <t>Davidson Consulting</t>
  </si>
  <si>
    <t>Piden +2 años, encajabas bien en su momento</t>
  </si>
  <si>
    <t>30–40k € aprox</t>
  </si>
  <si>
    <t>Rol orientado a BI y data visualization; interesante técnicamente pero más nicho y menos producto generalista</t>
  </si>
  <si>
    <t>Consultora estable, buen ambiente, proyectos dependientes de cliente</t>
  </si>
  <si>
    <t>Encaje medio (65–70%); buen fit técnico pero no alineado con tu foco actual</t>
  </si>
  <si>
    <t>Consultora internacional tecnológica (3000+ empleados)</t>
  </si>
  <si>
    <t>Colaboración, crecimiento, innovación</t>
  </si>
  <si>
    <t>Encaje en UX, flujos y prototipado; menos en data viz avanzada</t>
  </si>
  <si>
    <t>Rol más técnico en datos, menos alineado con producto y accesibilidad</t>
  </si>
  <si>
    <t>https://www.linkedin.com/jobs/view/4227382763/?trk=eml-email_application_confirmation_with_nba_01-applied_jobs-0-jobcard_body&amp;refId=VNuh5Rl%2FQOKP7Xp5a9nQNQ%3D%3D&amp;trackingId=mVk3p2pCRAKiRYAX3NdQyg%3D%3D</t>
  </si>
  <si>
    <t>Buena opción en su momento, no ahora</t>
  </si>
  <si>
    <t>Opción correcta en pasado, ahora desalineada</t>
  </si>
  <si>
    <t>General Technologies Consulting</t>
  </si>
  <si>
    <t>Piden experiencia en sector bancario + workshops + UX completo; encaje parcial</t>
  </si>
  <si>
    <t>Rol bastante completo (research, workshops, sistemas), pero muy condicionado al sector banca</t>
  </si>
  <si>
    <t>Consultora en crecimiento, proyectos de transformación digital; entorno correcto pero poco diferencial</t>
  </si>
  <si>
    <t>Encaje medio (60–70%); buen fit en UX y sistemas pero falta experiencia en banca y no es especialmente alineado contigo</t>
  </si>
  <si>
    <t>Consultora tecnológica enfocada en proyectos digitales internacionales</t>
  </si>
  <si>
    <t>Colaboración, impacto, mejora continua, innovación</t>
  </si>
  <si>
    <t>Encaje en research, flujos, sistemas y accesibilidad; menos en sector banca y contexto específico</t>
  </si>
  <si>
    <t>Rol muy dependiente del cliente (banca), menos flexible en tipo de producto</t>
  </si>
  <si>
    <t>https://www.linkedin.com/jobs/view/4228264026/?trk=eml-email_application_confirmation_with_nba_01-applied_jobs-0-jobcard_body&amp;refId=nE6ncSepSiyId8ni3Ms1mQ%3D%3D&amp;trackingId=quUi288KSJCGPZuwccZH8Q%3D%3D</t>
  </si>
  <si>
    <t>Correcta pero poco alineada con tu foco en producto/accesibilidad/impacto</t>
  </si>
  <si>
    <t>Opción válida pero no estratégica para tu crecimiento</t>
  </si>
  <si>
    <t>UI/UX Designer</t>
  </si>
  <si>
    <t>Confidential Jobs</t>
  </si>
  <si>
    <t>Piden perfil generalista UI/UX + algo de frontend; encaje parcial</t>
  </si>
  <si>
    <t>Rol bastante básico y genérico, más orientado a ejecución (mockups, visual) que a producto o estrategia</t>
  </si>
  <si>
    <t>Empresa poco clara (confidential), sector más industrial/arquitectura que digital product; bajo interés estratégico</t>
  </si>
  <si>
    <t>Encaje medio-bajo (50–60%); podrías hacerlo pero no te aporta crecimiento relevante ni está alineado con tu perfil</t>
  </si>
  <si>
    <t>Empresa de construcción/arquitectura con componente digital limitado</t>
  </si>
  <si>
    <t>Calidad, ejecución, tecnología aplicada, servicio</t>
  </si>
  <si>
    <t>Encaje en UI/UX base, pero no en research, accesibilidad ni producto complejo</t>
  </si>
  <si>
    <t>Rol poco definido en UX real, más cercano a diseño visual + soporte digital</t>
  </si>
  <si>
    <t>https://www.linkedin.com/jobs/view/4232991574/?trk=eml-email_application_confirmation_with_nba_01-applied_jobs-0-jobcard_body&amp;refId=xH4r7HmTSmK%2BIwlsyDCMWA%3D%3D&amp;trackingId=b0lxOMW3Qie0OmWln2h9Kg%3D%3D</t>
  </si>
  <si>
    <t>Poco alineada con tu foco actual; no diferencial</t>
  </si>
  <si>
    <t>Opción poco interesante para tu crecimiento en producto UX</t>
  </si>
  <si>
    <t>UX Designer (Senior)</t>
  </si>
  <si>
    <t>Capitole</t>
  </si>
  <si>
    <t>Piden 5+ años + enterprise SaaS + clientes globales; estás por debajo</t>
  </si>
  <si>
    <t>40–55k € aprox</t>
  </si>
  <si>
    <t>Rol potente en proyectos grandes de transformación digital; mucho SaaS complejo, sistemas y stakeholders</t>
  </si>
  <si>
    <t>Consultora sólida con clientes enterprise; buen entorno de aprendizaje pero exigente y dependiente de cliente</t>
  </si>
  <si>
    <t>Encaje medio-bajo (50–60%); alineada en UX, research y sistemas, pero falta experiencia en enterprise y seniority formal</t>
  </si>
  <si>
    <t>Consultora tecnológica enfocada en proyectos enterprise y transformación digital</t>
  </si>
  <si>
    <t>Innovación, crecimiento, colaboración, aprendizaje continuo</t>
  </si>
  <si>
    <t>Encaje en UX estructural, flows, sistemas; gap en experiencia enterprise (ERP, payroll) y liderazgo formal</t>
  </si>
  <si>
    <t>Requiere experiencia previa en entornos corporativos grandes que tú no tienes aún</t>
  </si>
  <si>
    <t>https://www.linkedin.com/jobs/view/4229429541/?trk=eml-email_application_confirmation_with_nba_01-applied_jobs-0-jobcard_body&amp;refId=FlORgaaBQpGZJGD6qa1e3Q%3D%3D&amp;trackingId=D1gsNZ%2BwTPiGMMxUpwiriw%3D%3D</t>
  </si>
  <si>
    <t>Buena a nivel aspiracional pero no realista en ese momento</t>
  </si>
  <si>
    <t>Rol interesante pero demasiado senior y orientado a enterprise para tu nivel actual</t>
  </si>
  <si>
    <t>Senior UX Product Designer</t>
  </si>
  <si>
    <t>Pearson</t>
  </si>
  <si>
    <t>Piden senior (5+ años); estabas cerca pero algo por debajo</t>
  </si>
  <si>
    <t>Rol muy alineado con producto educativo, UX end-to-end, research, sistemas y accesibilidad; bastante completo</t>
  </si>
  <si>
    <t>Empresa muy sólida en educación digital, buen entorno de diseño y cultura UX madura</t>
  </si>
  <si>
    <t>Encaje alto (75–85% en contenido y valores), pero limitado por seniority formal; muy buen match contigo conceptualmente</t>
  </si>
  <si>
    <t>Multinacional educativa con fuerte foco en producto digital y learning experience</t>
  </si>
  <si>
    <t>Colaboración, impacto educativo, consistencia, user-centered design</t>
  </si>
  <si>
    <t>Encaje muy fuerte en research, accesibilidad, sistemas, flujos y contexto educativo</t>
  </si>
  <si>
    <t>Te faltaba algo de seniority formal y ownership a gran escala</t>
  </si>
  <si>
    <t>https://www.linkedin.com/jobs/view/4226238617/?trk=eml-email_application_confirmation_with_nba_01-applied_jobs-0-jobcard_body&amp;refId=aPhtkr0UQVGBYtFmOKQvIQ%3D%3D&amp;trackingId=DIa1v6hOQWWgnL56NEGGkA%3D%3D</t>
  </si>
  <si>
    <t>De las mejores en alineación contigo; oportunidad muy buena si hubieras estado un poco más senior</t>
  </si>
  <si>
    <r>
      <rPr>
        <rFont val="Arial"/>
        <color theme="1"/>
      </rPr>
      <t xml:space="preserve">Hi Carlota, 
</t>
    </r>
    <r>
      <rPr>
        <rFont val="Arial"/>
        <b/>
        <color rgb="FFFF0000"/>
      </rPr>
      <t xml:space="preserve">Carlota Iglesias </t>
    </r>
    <r>
      <rPr>
        <rFont val="Arial"/>
        <color theme="1"/>
      </rPr>
      <t>2nd degree connection
SUX Designer @ Pearson | Design Lead | Gen-AI Design
I came across your profile through Pearson and wanted to reach out. I’ve worked in UX/UI on an educational platform, mainly around accessibility, design systems and complex workflows, and Pearson feels very aligned with the kind of work I enjoy. Would love to connect.</t>
    </r>
  </si>
  <si>
    <t>Opción muy alineada a nivel producto y valores, pero ligeramente por encima de tu nivel en ese momento</t>
  </si>
  <si>
    <t>Sngular</t>
  </si>
  <si>
    <t>Remoto / híbrido</t>
  </si>
  <si>
    <t>Piden +2 años; encajabas bien en experiencia</t>
  </si>
  <si>
    <t>30–38k € aprox</t>
  </si>
  <si>
    <t>Rol generalista de UX/UI en múltiples proyectos; más ejecución que estrategia o producto profundo</t>
  </si>
  <si>
    <t>Consultora grande con buena cultura interna, formación y equipo; proyectos variables según cliente</t>
  </si>
  <si>
    <t>Encaje medio (65–75%); buen fit en UX base pero no diferencial para tu crecimiento actual</t>
  </si>
  <si>
    <t>Consultora tecnológica (1300+ empleados) con enfoque en proyectos multi-sector</t>
  </si>
  <si>
    <t>Personas primero, colaboración, crecimiento, aprendizaje continuo</t>
  </si>
  <si>
    <t>Encaje en UX, flows, sistemas básicos; menos en accesibilidad profunda o producto complejo</t>
  </si>
  <si>
    <t>Rol más de ejecución en cliente que de ownership de producto</t>
  </si>
  <si>
    <t>https://www.linkedin.com/jobs/view/4285522708/?trk=eml-email_application_confirmation_with_nba_01-applied_jobs-0-jobcard_body&amp;refId=SoorGLEATwa8WojpiTOkJg%3D%3D&amp;trackingId=PvN7KxdvRaCUmF24BBLvAQ%3D%3D</t>
  </si>
  <si>
    <t>Buena opción inicial, pero poco alineada con tu especialización actual</t>
  </si>
  <si>
    <t>Opción correcta para empezar, pero no estratégica para tu perfil actual</t>
  </si>
  <si>
    <t>Terra</t>
  </si>
  <si>
    <t>Bilbao / remoto</t>
  </si>
  <si>
    <t>Piden perfil UX/UI generalista con algo de frontend; encaje bueno contigo</t>
  </si>
  <si>
    <t>28k–40k €</t>
  </si>
  <si>
    <t>Rol bastante execution-focused: webs, marketing, UI + algo de UX; menos producto, más agencia</t>
  </si>
  <si>
    <t>Agencia digital creativa, entorno dinámico, buen ambiente pero menos profundidad en producto</t>
  </si>
  <si>
    <t>Encaje medio-alto (70–80%); encajas bien en skills, pero no suma mucho a tu crecimiento en producto</t>
  </si>
  <si>
    <t>Agencia de marketing digital y diseño</t>
  </si>
  <si>
    <t>Colaboración, creatividad, crecimiento, work-life balance</t>
  </si>
  <si>
    <t>Encaje fuerte en UI, flows, sistemas; menos en research profundo o producto complejo</t>
  </si>
  <si>
    <t>Mezcla de UX/UI + diseño gráfico + algo de frontend; rol bastante híbrido</t>
  </si>
  <si>
    <t>https://www.linkedin.com/jobs/view/4405549517/</t>
  </si>
  <si>
    <t>Buena opción si buscas estabilidad, pero no diferencial para tu perfil a largo plazo</t>
  </si>
  <si>
    <t>Opción sólida pero más orientada a agencia y ejecución que a producto estratégico</t>
  </si>
  <si>
    <t>Senior UX Designer</t>
  </si>
  <si>
    <t>Wizeline</t>
  </si>
  <si>
    <t>Piden 5+ años + buen nivel producto; estás algo por debajo pero cerca</t>
  </si>
  <si>
    <t>40k–55k €</t>
  </si>
  <si>
    <t>Rol bastante equilibrado entre UX, producto y sistemas; menos visual, más estructural y colaborativo</t>
  </si>
  <si>
    <t>Consultora tech global con foco en AI y producto; buen entorno para crecer pero dependiente de cliente</t>
  </si>
  <si>
    <t>Encaje medio-alto (70–80%); muy alineada en UX, systems thinking y colaboración, gap leve en seniority</t>
  </si>
  <si>
    <t>Consultora tecnológica AI-native con proyectos de transformación digital</t>
  </si>
  <si>
    <t>Colaboración, impacto, crecimiento, producto + tecnología</t>
  </si>
  <si>
    <t>Encaje fuerte en research, flows, sistemas y accesibilidad; buen siguiente paso para ti</t>
  </si>
  <si>
    <t>Rol bastante alineado con tu perfil actual, buen puente a product design más maduro</t>
  </si>
  <si>
    <t>https://www.linkedin.com/jobs/view/4400317259/</t>
  </si>
  <si>
    <t>Buena oportunidad, bastante alineada y más realista que otras senior</t>
  </si>
  <si>
    <t>Opción sólida y bien alineada con tu evolución hacia product design</t>
  </si>
  <si>
    <t>Senior Product Designer (Core UX &amp; Mobile)</t>
  </si>
  <si>
    <t>PandaDoc</t>
  </si>
  <si>
    <t>Piden 5+ años + experiencia fuerte en sistemas, IA y producto complejo; estás algo por debajo pero cerca en tipo de pensamiento</t>
  </si>
  <si>
    <t>45k–65k € aprox</t>
  </si>
  <si>
    <t>Rol muy potente en foundations: arquitectura, design systems y escalabilidad; mucho impacto transversal en producto</t>
  </si>
  <si>
    <t>Empresa producto SaaS consolidada, cultura cuidada, buen balance y entorno internacional</t>
  </si>
  <si>
    <t>Encaje medio-alto (70–80%); muy alineada en systems thinking, accesibilidad y UX estructural, gap leve en seniority</t>
  </si>
  <si>
    <t>Empresa SaaS de automatización de documentos (67k+ clientes)</t>
  </si>
  <si>
    <t>Transparencia, crecimiento, calidad, colaboración, producto-first</t>
  </si>
  <si>
    <t>Encaje fuerte en flows, arquitectura, accesibilidad y sistemas; muy alineado con tu forma de pensar</t>
  </si>
  <si>
    <t>Rol ideal para evolucionar hacia product/system designer más senior</t>
  </si>
  <si>
    <t>https://www.linkedin.com/jobs/view/4377843533/</t>
  </si>
  <si>
    <t>Muy buena opción, de las más alineadas contigo en tipo de trabajo</t>
  </si>
  <si>
    <r>
      <rPr/>
      <t xml:space="preserve">✱ </t>
    </r>
    <r>
      <rPr>
        <b/>
        <color rgb="FFFF0000"/>
      </rPr>
      <t>Andrea Pilutti</t>
    </r>
    <r>
      <rPr/>
      <t xml:space="preserve"> ✱ Product Design Leadership ✱ Craft-focused, AI Enthusiast ✱ B2C, B2B, SaaS, AI, eCommerce
Hi Andrea, I’ve just applied for the PandaDoc role as it felt very aligned with the kind of product and systems-focused work I’m looking for. My background is mostly SaaS/Ed, design systems, accessibility and complex workflows. Feel free to have a look: </t>
    </r>
    <r>
      <rPr>
        <color rgb="FF1155CC"/>
        <u/>
      </rPr>
      <t>https://abadisedraoui.wixstudio.com/portfolio</t>
    </r>
  </si>
  <si>
    <t>Oportunidad sólida: exigente pero coherente con tu evolución hacia producto y systems design</t>
  </si>
  <si>
    <t>👤✅</t>
  </si>
  <si>
    <t>Senior UX/UI Designer</t>
  </si>
  <si>
    <t>MODELIA</t>
  </si>
  <si>
    <t>Piden senior con experiencia en productos complejos, sistemas y AI; estás cerca en tipo de pensamiento pero algo por debajo en seniority formal</t>
  </si>
  <si>
    <t>40k–60k € + equity aprox</t>
  </si>
  <si>
    <t>Rol muy potente: ownership total de UX en producto AI, foco en simplificar complejidad y diseñar sistemas desde cero</t>
  </si>
  <si>
    <t>Startup AI muy early y ambiciosa; alto riesgo pero alto impacto y aprendizaje</t>
  </si>
  <si>
    <t>Encaje medio-alto (70–80%); muy alineada en systems thinking, UX estructural y complejidad, gap en experiencia senior consolidada</t>
  </si>
  <si>
    <t>Startup AI en moda (generación visual, sustitución de fotoshoots)</t>
  </si>
  <si>
    <t>Ownership, velocidad, impacto, producto-first, ejecución sin fricción</t>
  </si>
  <si>
    <t>Encaje fuerte en flows, sistemas, accesibilidad mental y claridad; muy alineado con cómo piensas</t>
  </si>
  <si>
    <t>Rol con mucha ambigüedad y presión; requiere autonomía y decisión constante</t>
  </si>
  <si>
    <t>https://www.linkedin.com/jobs/view/4409050853/</t>
  </si>
  <si>
    <t>Muy buena opción si quieres dar salto a AI y ownership real</t>
  </si>
  <si>
    <r>
      <rPr>
        <rFont val="Arial"/>
        <color theme="1"/>
      </rPr>
      <t xml:space="preserve">
</t>
    </r>
    <r>
      <rPr>
        <rFont val="Arial"/>
        <b/>
        <color rgb="FFFF0000"/>
      </rPr>
      <t>Iván Rodríguez</t>
    </r>
    <r>
      <rPr>
        <rFont val="Arial"/>
        <color theme="1"/>
      </rPr>
      <t xml:space="preserve"> (CEO at Modelia) 
Hi Iván,
I recently applied to Modelia and wanted to reach out. I spent some time exploring the product and found the core idea really strong — especially how it reframes visual production into something iterative and system-driven.
My background is in UX/UI for complex products (SaaS and educational platforms), working on systems, flows, and interaction structure. I tend to focus on taking non-obvious interactions and turning them into something clear and usable.
Your approach to building something without established patterns resonates a lot with how I like to work.
Happy to connect.</t>
    </r>
  </si>
  <si>
    <t>Oportunidad muy alineada contigo en tipo de problema, pero exigente en seniority y contexto startup
Tuve la entrevista con Ivan y fue un desastre y super desagrable. NEXT</t>
  </si>
  <si>
    <t>Senior Product Designer (Observability)</t>
  </si>
  <si>
    <t>Elastic</t>
  </si>
  <si>
    <t>Piden 5+ años + experiencia en B2B complejo y data-heavy; estás algo por debajo pero con buen fit en tipo de pensamiento</t>
  </si>
  <si>
    <t>50k–70k € aprox</t>
  </si>
  <si>
    <t>Rol muy enfocado a producto técnico complejo (data, observability), fuerte en research, sistemas y UX estructural</t>
  </si>
  <si>
    <t>Empresa tech muy sólida, producto complejo y maduro, buen entorno de aprendizaje y crecimiento</t>
  </si>
  <si>
    <t>Encaje medio-alto (70–80%); muy alineada en UX, research, sistemas y accesibilidad, gap en experiencia técnica B2B/data</t>
  </si>
  <si>
    <t>Empresa global de search, data y AI (producto técnico B2B)</t>
  </si>
  <si>
    <t>Innovación, calidad, colaboración, impacto, aprendizaje continuo</t>
  </si>
  <si>
    <t>Encaje fuerte en flows complejos, research y sistemas; buen siguiente paso hacia producto más técnico</t>
  </si>
  <si>
    <t>Rol exigente en complejidad técnica y contexto data-heavy</t>
  </si>
  <si>
    <t>https://www.linkedin.com/jobs/view/4368681647/</t>
  </si>
  <si>
    <t>Muy buena opción para crecer hacia producto técnico y systems design</t>
  </si>
  <si>
    <r>
      <rPr>
        <rFont val="Arial"/>
        <b/>
        <color rgb="FFFF0000"/>
      </rPr>
      <t>Christian Siles</t>
    </r>
    <r>
      <rPr>
        <rFont val="Arial"/>
        <color theme="1"/>
      </rPr>
      <t xml:space="preserve"> (Senior Product Designer at Elastic)
Hi Christian, I applied for the Senior Product Designer (Observability) role at Elastic. I work on complex B2B products, focusing on systems, research, and data-heavy experiences. I’m interested in how you approach clarity in technical products. Happy to connect.
</t>
    </r>
    <r>
      <rPr>
        <rFont val="Arial"/>
        <b/>
        <color rgb="FFFF0000"/>
      </rPr>
      <t>Neil W.</t>
    </r>
    <r>
      <rPr>
        <rFont val="Arial"/>
        <color theme="1"/>
      </rPr>
      <t xml:space="preserve"> ____ Senior Recruiter @Elastic - Barcelona, Catalonia, Spain
Hi Neil,
I recently applied for the Senior Product Designer (Observability) role at Elastic and wanted to reach out. I come from UX/UI in complex B2B products, working across systems, research, and data-heavy experiences, and translating user and product insights into structured, usable flows.
I’m particularly interested in how Elastic approaches clarity in highly technical contexts.
Happy to connect, and thanks for your time.
</t>
    </r>
  </si>
  <si>
    <t>Oportunidad sólida, exigente pero bastante alineada con tu evolución hacia producto complejo</t>
  </si>
  <si>
    <t>Mid Service Designer</t>
  </si>
  <si>
    <t>frog</t>
  </si>
  <si>
    <t>Hybrid</t>
  </si>
  <si>
    <t>2+ años Service Design</t>
  </si>
  <si>
    <t>No especificado (~35–50k estimado)</t>
  </si>
  <si>
    <t>Interesante pero más service design puro que UX/UI; rol más estratégico y sistémico</t>
  </si>
  <si>
    <t>Empresa top en diseño (consultoría, Capgemini Invent), proyectos complejos y de alto nivel</t>
  </si>
  <si>
    <t>Buen fit parcial: tienes research, flows, workshops, pero te falta posicionarte más como service/system designer; podrías entrar si enfocas portfolio a systems, blueprints y stakeholders</t>
  </si>
  <si>
    <t>Consultora global de diseño estratégico, innovación y transformación</t>
  </si>
  <si>
    <t>Human-centered, systems thinking, innovación, impacto, colaboración</t>
  </si>
  <si>
    <t>Perfil híbrido UX/UI con capacidad de system thinking; necesitan más service puro</t>
  </si>
  <si>
    <t>Oportunidad de pivotar a service design / consultoría / estrategia</t>
  </si>
  <si>
    <t>https://www.linkedin.com/jobs/view/4399744901/?trk=eml-email_jobs_job_application_viewed_01-applied_jobs-0-applied_job</t>
  </si>
  <si>
    <t>Alto nivel pero competitivo; adaptar portfolio es clave</t>
  </si>
  <si>
    <t>Buen fit si reposicionas tu narrativa hacia service design y sistemas</t>
  </si>
  <si>
    <t>Joppy (cliente no visible)</t>
  </si>
  <si>
    <t>3+ años</t>
  </si>
  <si>
    <t>35–45k</t>
  </si>
  <si>
    <t>Muy buen fit: workflows complejos, systems, internal tools, ownership real</t>
  </si>
  <si>
    <t>Incógnita: intermediario + startup AI-first, puede ser potente o caótico</t>
  </si>
  <si>
    <t>Alta probabilidad de encaje; rol ideal para posicionarte como product designer con systems thinking y accesibilidad</t>
  </si>
  <si>
    <t>Plataforma de reclutamiento tech; empresa final proptech AI-driven no visible</t>
  </si>
  <si>
    <t>Ownership, impacto, rapidez, exigencia, cultura startup</t>
  </si>
  <si>
    <t>Perfil muy alineado: UX systems + accesibilidad + flows + design systems</t>
  </si>
  <si>
    <t>AI workflows (Claude, Stitch, etc.), internal tools, crecimiento rápido</t>
  </si>
  <si>
    <t>https://www.linkedin.com/jobs/search/?alertAction=viewjobs&amp;currentJobId=4408670178&amp;distance=25&amp;f_TPR=a1777792566-&amp;f_WT=1%2C3%2C2&amp;geoId=105646813&amp;keywords=Product%20Designer&amp;origin=JOB_ALERT_IN_APP_NOTIFICATION&amp;originToLandingJobPostings=4408369850%2C4408383592%2C4407737470%2C4369944043%2C4369835976%2C4388516957&amp;savedSearchId=5198310161&amp;sortBy=R</t>
  </si>
  <si>
    <t>Aplicar sí, pero validar empresa final y condiciones; potencial alto pero con riesgo de caos</t>
  </si>
  <si>
    <t>Muy buena oportunidad si el equipo es sólido; cuidado con hype AI y falta de estructura</t>
  </si>
  <si>
    <t>Joppy</t>
  </si>
  <si>
    <t>PropHero (vía Joppy)</t>
  </si>
  <si>
    <t>35.000–45.000€</t>
  </si>
  <si>
    <t>Muy buen fit: internal tools, systems, workflows complejos, ownership end-to-end</t>
  </si>
  <si>
    <t>Startup proptech AI-driven; alto potencial pero con incertidumbre y posible caos</t>
  </si>
  <si>
    <t>Encaje alto: rol ideal para posicionarte como product designer (systems + accesibilidad); aplicar sí pero validar equipo y madurez</t>
  </si>
  <si>
    <t>Marketplace de inversión inmobiliaria con enfoque AI, backed por VCs y ex-consultores</t>
  </si>
  <si>
    <t>Cultura startup: ownership, impacto, exigencia, alto rendimiento</t>
  </si>
  <si>
    <t>Perfil muy alineado: UX systems, flows, design systems, accesibilidad</t>
  </si>
  <si>
    <t>AI-first workflows, internal platform (Vistral), usuarios expertos, crecimiento rápido</t>
  </si>
  <si>
    <t>https://app.joppy.me/explorer/offers/product-design/fe971bde-f2ee-4ce4-b5ac-879cfb038d33</t>
  </si>
  <si>
    <t>Buena oportunidad si buscas subir a product; cuidado con carga y hype AI</t>
  </si>
  <si>
    <t>Muy buena opción si el equipo es sólido; puede acelerar tu perfil pero exige bastante</t>
  </si>
  <si>
    <t>Factorial (vía Joppy)</t>
  </si>
  <si>
    <t>Presencial / híbrido</t>
  </si>
  <si>
    <t>Madrid / Barcelona</t>
  </si>
  <si>
    <t>3–6+ años</t>
  </si>
  <si>
    <t>62.000–82.000€</t>
  </si>
  <si>
    <t>Muy atractivo: producto real, systems, end-to-end, impacto en negocio y usuarios</t>
  </si>
  <si>
    <t>Empresa sólida en crecimiento (HR SaaS), buen producto, cultura fuerte de diseño</t>
  </si>
  <si>
    <t>Encaje medio-alto: puedes optar aunque pidan más años; clave posicionarte como product designer con impacto y systems thinking</t>
  </si>
  <si>
    <t>SaaS de gestión empresarial (HR, finance, ops), scale-up con funding fuerte</t>
  </si>
  <si>
    <t>Craft, detalle, impacto, ownership, pensamiento sistémico, producto como core</t>
  </si>
  <si>
    <t>Perfil bastante alineado: UX systems, flows, research, accesibilidad (aunque no sea core aquí)</t>
  </si>
  <si>
    <t>Producto complejo multi-vertical, oportunidad de crecimiento real y seniorización</t>
  </si>
  <si>
    <t>https://app.joppy.me/explorer/offers/product-design/85637917-b556-4188-a70c-9a89077538d1</t>
  </si>
  <si>
    <t>Muy buena oportunidad pero competitiva; exige nivel alto en discurso y portfolio</t>
  </si>
  <si>
    <t>Gran salto si entras; rol exigente pero muy alineado con evolución a product senior</t>
  </si>
  <si>
    <t>Senior / Principal Product Designer</t>
  </si>
  <si>
    <t>NeuralTrust</t>
  </si>
  <si>
    <t>6+ años (implícito, muy senior)</t>
  </si>
  <si>
    <t>No especificado (alto esperado)</t>
  </si>
  <si>
    <t>Rol muy exigente: foco en craft, systems y simplificación de problemas técnicos complejos</t>
  </si>
  <si>
    <t>Startup AI + cybersecurity, muy técnica, alto nivel y alta exigencia</t>
  </si>
  <si>
    <t>Encaje bajo-medio ahora: gap en seniority y exposición a productos técnicos complejos; buen reto a futuro</t>
  </si>
  <si>
    <t>Startup en AI agent security, producto técnico para equipos especializados</t>
  </si>
  <si>
    <t>Craft extremo, autonomía, velocidad, juicio propio, alto estándar de calidad</t>
  </si>
  <si>
    <t>Perfil parcialmente alineado (systems + UX), pero falta profundidad en productos técnicos y seniority</t>
  </si>
  <si>
    <t>Alta ambigüedad, poco research-driven, mucha presión por output y criterio propio</t>
  </si>
  <si>
    <t>https://www.linkedin.com/jobs/view/4403661494/?trk=eml-email_job_alert_digest_01-primary_job_list-0-jobcard_body_2_jobid_4403661494_ssid_5198310169_fmid_dnyviv~mompxc56~bv&amp;refId=BreIYOmweR66b5cBtkpn4A%3D%3D&amp;trackingId=p0rFAc7ZHNCGjvxA8CHaBg%3D%3D</t>
  </si>
  <si>
    <t>Oportunidad top pero fuera de rango actual; riesgo de sobreexigencia</t>
  </si>
  <si>
    <t>Mejor como objetivo a futuro; ahora implicaría curva muy exigente y posible desajuste</t>
  </si>
  <si>
    <t>Product Designer / Product Owner híbrido</t>
  </si>
  <si>
    <t>Heuristik</t>
  </si>
  <si>
    <t>3+ años UX + 1+ producto</t>
  </si>
  <si>
    <t>No especificado</t>
  </si>
  <si>
    <t>Rol muy híbrido (UX + PO + regulación); interesante pero exigente y poco puro diseño</t>
  </si>
  <si>
    <t>Startup AI biométrica en entorno clínico, muy nicho y técnico</t>
  </si>
  <si>
    <t>Encaje medio: tienes UX + systems + accesibilidad, pero gap en regulación médica y PO puro</t>
  </si>
  <si>
    <t>Biometric ID + AI en healthcare, entorno regulado (ISO, SaMD)</t>
  </si>
  <si>
    <t>Precisión, documentación, seguridad, impacto clínico, responsabilidad</t>
  </si>
  <si>
    <t>Perfil parcialmente alineado: UX complejo + accesibilidad + systems thinking</t>
  </si>
  <si>
    <t>Alta carga de documentación, Jira-heavy, menos foco en craft visual puro</t>
  </si>
  <si>
    <t>https://www.linkedin.com/jobs/view/4410061712/?trk=eml-email_jobs_job_application_viewed_01-similar_jobs-0-similar_job&amp;refId=Kg4cEXn%2BUSaAQLD9PvsDEA%3D%3D&amp;trackingId=4yH2ftXMJBllmyEzPcdOvw%3D%3D</t>
  </si>
  <si>
    <t>Oportunidad interesante si quieres pivotar a producto/healthtech; cuidado con rol difuso
🚩 Red flags
Rol híbrido confuso (UX + PO + regulación)
→ riesgo de acabar haciendo más gestión/documentación que diseño
Mucho peso en Jira / SDLC / compliance
→ menos tiempo en craft, más en tickets y procesos
Healthcare regulado (ISO 13485, SaMD)
→ curva de entrada alta + responsabilidad elevada
Equipo “lean, high-output”
→ puede significar sobrecarga / falta de estructura
“The buck stops here mentality”
→ responsabilidad fuerte sin necesariamente soporte equivalente
Poco mencionado sobre research real o equipo de diseño
→ posible soledad como diseñadora
🟢 Green flags
Problema real (clinical + seguridad)
→ impacto tangible, no producto superficial
AI + healthcare
→ posicionamiento potente a futuro
End-to-end ownership
→ puedes tocar producto de verdad (estrategia + diseño)
Design system + Figma ownership
→ encaja contigo
Data visualization + workflows complejos
→ muy alineado con tu perfil UX estructural
Accesibilidad + seguridad como core
→ encaja mucho con tu enfoque
💰 Posible sueldo (realista)
No lo dicen, pero por mercado + rol híbrido:
Base probable:
👉 40k – 55k €
Si valoran perfil PO + tech:
👉 hasta ~60k €
Si es early-stage sin estructura:
👉 podría bajar a 35k–45k €
🧠 Lectura clara
Buen fit si quieres pivotar a:
→ product + AI + healthtech + systems complejos
No tan buen fit si buscas:
→ UX más puro / craft / entorno cuidado de diseño</t>
  </si>
  <si>
    <t>Buena para especializarte en health/AI, pero puede alejarte de UX más “design-driven”</t>
  </si>
  <si>
    <t>Freshly Cosmetics</t>
  </si>
  <si>
    <t>Reus (Barcelona)</t>
  </si>
  <si>
    <t>3–5+ años</t>
  </si>
  <si>
    <t>No especificado (~30k–45k estimado)</t>
  </si>
  <si>
    <t>Rol enfocado a ecommerce y CRO: diseño orientado a conversión, A/B testing y landings</t>
  </si>
  <si>
    <t>Empresa DTC consolidada, cultura fuerte de marca y crecimiento, entorno más marketing-driven</t>
  </si>
  <si>
    <t>Encaje medio-alto pero con matices: por un lado, tienes muy buen fit en ejecución UX/UI, systems thinking y accesibilidad, y podrías aportar claridad y estructura en flujos y consistencia. Además, tu experiencia en plataformas complejas puede elevar la calidad del producto digital. Sin embargo, el rol está claramente orientado a CRO y performance (landings, testing, adquisición), lo que implica un tipo de trabajo más táctico, iterativo y rápido, con menos profundidad en producto y menos espacio para exploración conceptual o diseño sistémico complejo. Es probable que gran parte del día a día sea optimizar conversión y producir variantes, más que definir producto a largo plazo. Puede ser una buena oportunidad si buscas impacto directo, métricas claras y aprender de negocio, pero puede quedarse corto si lo que quieres es crecer hacia product design más estratégico o trabajar en problemas complejos.</t>
  </si>
  <si>
    <t>Ecommerce cosmética DTC, foco en adquisición, conversión y expansión internacional</t>
  </si>
  <si>
    <t>Resultados, experimentación, ownership, mejora continua, impacto en negocio</t>
  </si>
  <si>
    <t>Perfil bastante alineado en ejecución UX/UI, pero menos alineado en profundidad de producto complejo</t>
  </si>
  <si>
    <t>https://team.freshlycosmetics.com/jobs/7655502-ux-ui-designer</t>
  </si>
  <si>
    <t>Buena opción si buscas impacto rápido y métricas claras; menos si buscas profundidad de producto
Rol más execution + marketing que product; posible limitación en crecimiento estratégico UX
🟢 Green flags
Impacto directo, cultura fuerte, ownership, experimentación
🚩 Red flags
Muy CRO/marketing, poco product, execution-heavy, posible techo
💰 Money-wise
~30k–45k € (probable medio-bajo)</t>
  </si>
  <si>
    <t>Buena opción si quieres impacto rápido y métricas claras; menos si buscas producto profundo
Entrevista con IA</t>
  </si>
  <si>
    <t>Alta</t>
  </si>
  <si>
    <t>Senior Product Designer (Mobile)</t>
  </si>
  <si>
    <t>Shakers</t>
  </si>
  <si>
    <t>Híbrido (freelance)</t>
  </si>
  <si>
    <t>5+ años (mobile fuerte)</t>
  </si>
  <si>
    <t>No especificado (~40k–60k estimado freelance)</t>
  </si>
  <si>
    <t>Rol muy orientado a producto mobile con ownership end-to-end, impacto en métricas y decisiones estratégicas</t>
  </si>
  <si>
    <t>Consultora/intermediario (Shakers) para cliente marketplace B2C de movilidad</t>
  </si>
  <si>
    <t>Encaje medio: buen fit en UX, systems y producto, pero gap en experiencia mobile nativa y seniority en apps en producción</t>
  </si>
  <si>
    <t>Marketplace B2C movilidad (app conductor/pasajero), foco en mobile y crecimiento</t>
  </si>
  <si>
    <t>Impacto, ownership, velocidad, decisiones basadas en métricas, producto-first</t>
  </si>
  <si>
    <t>Perfil alineado en producto y UX, menos en mobile nativo profundo y entorno senior</t>
  </si>
  <si>
    <t>Freelance + alta exigencia + cliente final no visible; posible inestabilidad o presión</t>
  </si>
  <si>
    <t>https://www.linkedin.com/jobs/view/4400812752/</t>
  </si>
  <si>
    <t>Buena oportunidad para crecer en product mobile, pero exigente y con riesgo por formato freelance</t>
  </si>
  <si>
    <t>Interesante si quieres pivotar a mobile product; exige nivel alto y autonomía real</t>
  </si>
  <si>
    <t>Glintt Global</t>
  </si>
  <si>
    <t>Spain (cliente Telco)</t>
  </si>
  <si>
    <t>4–6 años</t>
  </si>
  <si>
    <t>No especificado (~35k–50k estimado)</t>
  </si>
  <si>
    <t>Rol bastante completo UX/UI en entorno producto con foco en design systems y colaboración cross-funcional</t>
  </si>
  <si>
    <t>Consultora tecnológica consolidada (30+ años), proyectos para clientes (Telco)</t>
  </si>
  <si>
    <t>Encaje alto: muy alineado con tu experiencia en UX, systems, accesibilidad y trabajo con equipos multidisciplinares</t>
  </si>
  <si>
    <t>Empresa tech enfocada en salud/servicios, aquí proyecto Telco</t>
  </si>
  <si>
    <t>Resultados, colaboración, consistencia, mejora continua, cultura de diseño</t>
  </si>
  <si>
    <t>Perfil muy alineado: UX estructural, design systems, research, accesibilidad</t>
  </si>
  <si>
    <t>Rol en consultora → posible menos ownership de producto y más dependencia de cliente</t>
  </si>
  <si>
    <t>https://www.linkedin.com/jobs/collections/recommended/?currentJobId=4408645913&amp;discover=recommended&amp;discoveryOrigin=JOBS_HOME_JYMBII</t>
  </si>
  <si>
    <t>Buena opción estable y alineada; menos “sexy” pero sólida para consolidar perfil product</t>
  </si>
  <si>
    <t>Muy buen fit práctico; buena relación esfuerzo/retorno aunque menos impacto estratégico</t>
  </si>
  <si>
    <t>Trinetix</t>
  </si>
  <si>
    <t>Spain / global</t>
  </si>
  <si>
    <t>4+ años</t>
  </si>
  <si>
    <t>Rol UX/UI bastante completo con foco en AI features (chatbots, agentic systems) y accesibilidad</t>
  </si>
  <si>
    <t>Consultora tech global (1000+ empleados), proyectos enterprise variados</t>
  </si>
  <si>
    <t>Encaje alto: alineado con UX estructural, accesibilidad, research y systems; buen punto para entrar en AI UX</t>
  </si>
  <si>
    <t>Proveedor de servicios digitales para clientes enterprise (fintech, health, etc.)</t>
  </si>
  <si>
    <t>Colaboración, crecimiento, aprendizaje continuo, enfoque en usuario</t>
  </si>
  <si>
    <t>Perfil muy alineado: UX + accesibilidad + research + systems; AI es un plus a desarrollar</t>
  </si>
  <si>
    <t>Rol de consultora: menos ownership de producto, más dependencia de cliente/proyecto</t>
  </si>
  <si>
    <t>https://www.linkedin.com/jobs/collections/recommended/?currentJobId=4410027327&amp;discover=recommended&amp;discoveryOrigin=JOBS_HOME_JYMBII</t>
  </si>
  <si>
    <t>Buena opción para consolidar UX + abrir vía AI sin entorno extremadamente exigente</t>
  </si>
  <si>
    <t>Muy buen equilibrio entre fit, aprendizaje y estabilidad</t>
  </si>
  <si>
    <t>Product Designer (UX/UI)</t>
  </si>
  <si>
    <t>Influencity</t>
  </si>
  <si>
    <t>Madrid / Spain</t>
  </si>
  <si>
    <t>Rol product completo en SaaS B2B con foco en UX end-to-end, sistemas y datos</t>
  </si>
  <si>
    <t>Startup scale-up en influencer marketing con producto AI-driven</t>
  </si>
  <si>
    <t>Encaje alto: muy alineado con tu experiencia en UX, systems, research y producto digital complejo</t>
  </si>
  <si>
    <t>SaaS B2B influencer marketing con base de datos masiva (70M perfiles)</t>
  </si>
  <si>
    <t>Crecimiento, ownership, colaboración, mejora continua, orientación a producto</t>
  </si>
  <si>
    <t>Perfil muy alineado: UX estructural, design systems, research, producto</t>
  </si>
  <si>
    <t>Rol exigente en gestión de complejidad y ritmo agile; requiere autonomía y claridad en decisiones</t>
  </si>
  <si>
    <t>https://www.linkedin.com/jobs/collections/recommended/?currentJobId=4386917043&amp;discover=recommended&amp;discoveryOrigin=JOBS_HOME_JYMBII</t>
  </si>
  <si>
    <t>Buena oportunidad para consolidar perfil product en SaaS y trabajar con complejidad real</t>
  </si>
  <si>
    <t>Muy buen fit general: equilibrio entre producto, UX y crecimiento profesional</t>
  </si>
  <si>
    <t>Checkly</t>
  </si>
  <si>
    <t>Remoto (async)</t>
  </si>
  <si>
    <t>UTC-3 a UTC+3 (Spain OK)</t>
  </si>
  <si>
    <t>5–7+ años</t>
  </si>
  <si>
    <t>70k–82k € + equity</t>
  </si>
  <si>
    <t>Rol muy potente en SaaS técnico (devtools), foco en data-heavy UX, systems y colaboración con engineering</t>
  </si>
  <si>
    <t>Startup devtool SaaS en crecimiento (Series B, clientes tech top)</t>
  </si>
  <si>
    <t>Encaje medio: muy buen fit en UX estructural, systems y accesibilidad; gap en devtools, frontend y AI-driven workflows avanzados</t>
  </si>
  <si>
    <t>SaaS técnico (testing, monitoring, observability para developers)</t>
  </si>
  <si>
    <t>Autonomía, async, ownership, velocidad, pragmatismo, transparencia</t>
  </si>
  <si>
    <t>Perfil parcialmente alineado: fuerte en UX y systems, menos en contexto técnico profundo y coding</t>
  </si>
  <si>
    <t>Fuerte componente técnico (code + dev mindset), alto nivel de autonomía requerido</t>
  </si>
  <si>
    <t>https://jobs.ashbyhq.com/checkly/93822939-0e54-48f1-8747-1a754d72351c?utm_source=3PLlpnaozL</t>
  </si>
  <si>
    <t>Oportunidad muy potente en salario y aprendizaje técnico; exigente pero diferencial</t>
  </si>
  <si>
    <r>
      <rPr>
        <rFont val="Arial"/>
        <b/>
        <color rgb="FFFF0000"/>
        <u/>
      </rPr>
      <t>María de Antón
S</t>
    </r>
    <r>
      <rPr>
        <rFont val="Arial"/>
        <color rgb="FF434343"/>
        <u/>
      </rPr>
      <t>taff Product Manager @ Checkly | Talk with me about AI, Observability and Developer Experience.
Hi María,
I’ve been looking into Checkly and your work around Observability, AI and developer experience caught my attention. It’s a complex space, and I find interesting how it sits between product, data and engineering.
My background is in UX/UI for complex products (SaaS and educational platforms), working on systems, research, and structuring flows where the logic isn’t always obvious. I’m interested in how product decisions translate into usable experiences in technical contexts.
Happy to connect :)</t>
    </r>
  </si>
  <si>
    <t>Gran salto en producto técnico y salario; requiere subir nivel en tech/AI rápidamente</t>
  </si>
  <si>
    <t>UX &amp; Design Strategist</t>
  </si>
  <si>
    <t>Tribal Worldwide Spain</t>
  </si>
  <si>
    <t>Híbrido (1 día oficina)</t>
  </si>
  <si>
    <t>Rol muy estratégico enfocado en research, definición de problemas y dirección de experiencia más que UI</t>
  </si>
  <si>
    <t>Consultora de diseño orientada a crecimiento (cliente: gran retailer)</t>
  </si>
  <si>
    <t>Encaje alto: muy alineado con tu perfil analítico, UX estructural, research y visión sistémica</t>
  </si>
  <si>
    <t>Consultora (Tribal) trabajando con cliente grande (retail complejo)</t>
  </si>
  <si>
    <t>Estrategia, claridad, impacto negocio, research, alineación, iniciativa</t>
  </si>
  <si>
    <t>Perfil muy alineado: UX, research, systems thinking, definición de problemas</t>
  </si>
  <si>
    <t>Menos foco en UI/craft; posible menor peso visual y más presión estratégica</t>
  </si>
  <si>
    <t>https://www.linkedin.com/jobs/collections/recommended/?currentJobId=4404572934&amp;discover=recommended&amp;discoveryOrigin=JOBS_HOME_JYMBII</t>
  </si>
  <si>
    <t>Muy buena oportunidad para pivotar a UX estratégico y discovery real</t>
  </si>
  <si>
    <t>Muy buen fit contigo; de los más coherentes con tu forma de pensar y trabajar</t>
  </si>
  <si>
    <t>INNOCV Solutions
Alkemy Iberia</t>
  </si>
  <si>
    <t>2–3 años</t>
  </si>
  <si>
    <t>No especificado (~28k–38k estimado)</t>
  </si>
  <si>
    <t>Rol UX/UI bastante estándar enfocado en ejecución: research, prototipado, UI y colaboración con equipos</t>
  </si>
  <si>
    <t>Consultora tech (Alkemy Group) con proyectos para grandes clientes</t>
  </si>
  <si>
    <t>Encaje medio: bien en skills UX/UI, systems y accesibilidad; puede quedarse corto a nivel de reto para ti</t>
  </si>
  <si>
    <t>Consultora digital con foco en data, BI y transformación digital</t>
  </si>
  <si>
    <t>Colaboración, aprendizaje continuo, impacto negocio, data-driven</t>
  </si>
  <si>
    <t>Perfil algo por encima del rol (puede ser downgrade en seniority)</t>
  </si>
  <si>
    <t>Rol más junior en responsabilidad; posible menor ownership y crecimiento limitado</t>
  </si>
  <si>
    <t>https://jobs.innocv.com/jobs/7492454-ux-ui-designer</t>
  </si>
  <si>
    <t>Opción segura pero menos interesante a nivel de crecimiento estratégico</t>
  </si>
  <si>
    <r>
      <rPr>
        <rFont val="Arial"/>
        <color theme="1"/>
      </rPr>
      <t xml:space="preserve">Proceso largo con INNOCV/Alkemy. Primero recibí un mensaje bastante genérico de </t>
    </r>
    <r>
      <rPr>
        <rFont val="Arial"/>
        <b/>
        <color rgb="FFFF0000"/>
      </rPr>
      <t>Marina Bejarano</t>
    </r>
    <r>
      <rPr>
        <rFont val="Arial"/>
        <color theme="1"/>
      </rPr>
      <t xml:space="preserve"> indicando que no había fecha concreta para la posición pero que guardarían mi perfil para futuras oportunidades. Más adelante, </t>
    </r>
    <r>
      <rPr>
        <rFont val="Arial"/>
        <b/>
        <color rgb="FFFF0000"/>
      </rPr>
      <t>Beatriz Andrés</t>
    </r>
    <r>
      <rPr>
        <rFont val="Arial"/>
        <color theme="1"/>
      </rPr>
      <t xml:space="preserve"> volvió a contactar conmigo para pasar a entrevista con la manager,</t>
    </r>
    <r>
      <rPr>
        <rFont val="Arial"/>
        <b/>
        <color rgb="FFFF0000"/>
      </rPr>
      <t xml:space="preserve"> Loreto Fernández</t>
    </r>
    <r>
      <rPr>
        <rFont val="Arial"/>
        <color theme="1"/>
      </rPr>
      <t>. Muy buen feeling durante la conversación: ambiente honesto, cercano y cómodo, con sensación real de buena comunicación y encaje humano. Hubo una pequeña prueba UX/UI de análisis de interfaz donde señalé varios temas estructurales y de UX, aunque omití algunos detalles visuales más obvios (alineación de píxeles, tipografía). Comenté interés en crecer profesionalmente y percibí que quizá buscaban un perfil más alineado con un equipo bastante junior y una estructura ya establecida. Tras unos 10 días, rechazo educado indicando que avanzaban con otro perfil más ajustado a las necesidades actuales, aunque destacando experiencia y actitud positiva durante el proceso.
Le he escrito un mensaje de agradecimiento a Loreto y a Beatriz</t>
    </r>
  </si>
  <si>
    <t>Útil si buscas estabilidad, pero no la mejor para evolucionar tu perfil product/estratégico</t>
  </si>
  <si>
    <t>CTAIMA (Twind)</t>
  </si>
  <si>
    <t>5–8 años</t>
  </si>
  <si>
    <t>No indicado (~45–65k?)</t>
  </si>
  <si>
    <t>Rol potente, centrado en design system + ownership real, poco execution, bastante técnico/estratégico</t>
  </si>
  <si>
    <t>Empresa sólida B2B, estable, producto maduro con clientes grandes, menos “cool” más negocio real</t>
  </si>
  <si>
    <t>Alineado con mercado (product + systems), buen fit en accesibilidad y estructura, riesgo en tooling (storybook/tokens) y narrativa senior
Buen fit con mercado (product + systems). Encajas fuerte en accesibilidad y estructura. Gaps: Storybook/tokens y narrativa de impacto. Clave: venderte como quien simplifica producto y asegura consistencia. Probabilidad media-alta si hablas en negocio/decisiones; baja si te quedas en ejecución. Buen rol para crecer a Product Designer senior.</t>
  </si>
  <si>
    <t>SaaS B2B compliance (CAE), producto complejo, multi-país, multi-idioma</t>
  </si>
  <si>
    <t>Seguridad, eficiencia, ownership, crecimiento, producto útil</t>
  </si>
  <si>
    <t>Senior autónoma, systems, comunica decisiones, conecta diseño-negocio-dev</t>
  </si>
  <si>
    <t>237 candidatos, remote = alta competencia, accesibilidad = tu diferencial</t>
  </si>
  <si>
    <t>https://www.linkedin.com/jobs/collections/recommended/?currentJobId=4406506322&amp;discover=recommended&amp;discoveryOrigin=JOBS_HOME_JYMBII</t>
  </si>
  <si>
    <t>Ventajas: remote, ownership, impacto real. Red flags: foco técnico alto, B2B denso, menos creativo, presión por consistencia</t>
  </si>
  <si>
    <t>Buen fit estratégico si refuerzas product thinking + systems</t>
  </si>
  <si>
    <t>YouGov</t>
  </si>
  <si>
    <t>Fully Remote</t>
  </si>
  <si>
    <t>España / UK / Polonia</t>
  </si>
  <si>
    <t>5+ años</t>
  </si>
  <si>
    <t>No indicado (~45–60k?)</t>
  </si>
  <si>
    <t>Rol muy product-driven, enfocado en data platform (dashboards, analytics), mezcla fuerte de UX + research + métricas + design system</t>
  </si>
  <si>
    <t>Empresa consolidada en data e investigación, producto serio, menos visual y más analítico</t>
  </si>
  <si>
    <t>Muy alineado con mercado (data + product + métricas), buen fit en UX/estructura/accesibilidad, gap claro en data visualization y métricas si no lo refuerzas
Fit medio.
🟢 Encaja: UX en productos complejos, estructura, research.
🔴 Gap: data (dashboards, métricas, impacto).
👉 Menos peso en systems/accesibilidad (tu fuerte).
Conclusión: viable, pero no es tu mejor match (CTAIMA encaja más)</t>
  </si>
  <si>
    <t>Plataforma de datos (Crunch), producto central de research y analytics</t>
  </si>
  <si>
    <t>Diversidad, impacto social, decisiones basadas en datos, colaboración global</t>
  </si>
  <si>
    <t>Product designer con foco en data, research, métricas, capaz de trabajar con complejidad y stakeholders</t>
  </si>
  <si>
    <t>Nivel alto en data UX, competencia alta, inglés clave, menos foco visual más analítico</t>
  </si>
  <si>
    <t>—</t>
  </si>
  <si>
    <t>Ventajas: remote, producto sólido, aprendizaje en data y métricas. Red flags: puede ser denso/menos creativo, fuerte exigencia en data UX, impacto menos visible en UI</t>
  </si>
  <si>
    <t>Pendiente</t>
  </si>
  <si>
    <t>Buen fit si refuerzas discurso en métricas/data, no tanto si te posicionas solo en UI/systems</t>
  </si>
  <si>
    <t>Air Apps</t>
  </si>
  <si>
    <t>Remote (pero rol onsite en Lisboa)</t>
  </si>
  <si>
    <t>España / Lisboa</t>
  </si>
  <si>
    <t>€36K–€46K</t>
  </si>
  <si>
    <t>Rol más execution + mobile/web, end-to-end pero menos estratégico, foco en UI + producto consumo</t>
  </si>
  <si>
    <t>Empresa tipo startup/scale-up, AI, crecimiento rápido, orientada a consumo y volumen</t>
  </si>
  <si>
    <t>Menos alineado contigo: más UI/mobile y menos systems/estructura; encaje parcial en UX pero no en posicionamiento actual</t>
  </si>
  <si>
    <t>App consumo con 100M descargas, enfoque en planificación personal con AI</t>
  </si>
  <si>
    <t>Velocidad, ambición, crecimiento, producto masivo, cultura startup</t>
  </si>
  <si>
    <t>Product designer generalista con foco en UI, mobile patterns, ejecución rápida</t>
  </si>
  <si>
    <t>Inconsistencia: dicen remote pero es onsite Lisboa; AI ban en proceso; ritmo alto; producto más superficial a nivel complejidad</t>
  </si>
  <si>
    <t>Green flags: producto grande, aprendizaje rápido, salario alineado. Red flags: menos profundidad UX, menos systems, posible presión/ritmo alto, incoherencia remote/onsite</t>
  </si>
  <si>
    <t>Fit medio-bajo: útil si quieres moverte a producto consumo/mobile, no ideal para systems/accesibilidad</t>
  </si>
  <si>
    <t>Senior Service Designer</t>
  </si>
  <si>
    <t>N-iX</t>
  </si>
  <si>
    <t>Senior</t>
  </si>
  <si>
    <t>N/A</t>
  </si>
  <si>
    <t>Complejidad alta, systems + service design, impacto en lifecycle y métricas</t>
  </si>
  <si>
    <t>Consultora, depende de cliente, menos ownership directo</t>
  </si>
  <si>
    <t>Fit alto, muy alineado con systems + research + flows
Green flags
End-to-end real (subscription lifecycle)
Impacto directo en métricas (retention, self-service)
Mucho systems + service design (tu core)
Research + delivery (no solo estrategia)
Red flags
Consultora → depende del cliente
Posible exceso de artefactos vs producto real
Ownership limitado según proyecto
Stakeholders complejos → más política
Info adicional
B2B SaaS (billing, pagos, subscripciones)
Problemas complejos y poco “visuales”
Buen fit para posicionarte en systems/service design
Puede abrir puertas a roles más estratégicos</t>
  </si>
  <si>
    <t>AI, data, automation, crecimiento técnico</t>
  </si>
  <si>
    <t>Eficiencia, escalabilidad, innovación técnica</t>
  </si>
  <si>
    <t>Service + UX + UI híbrido, research + delivery</t>
  </si>
  <si>
    <t>Riesgo de rol más estratégico que producto</t>
  </si>
  <si>
    <t>https://www.linkedin.com/jobs/search/?alertAction=viewjobs&amp;currentJobId=4409300083&amp;distance=25&amp;f_TPR=a1777883507-&amp;f_WT=1%2C3%2C2&amp;geoId=105646813&amp;keywords=User%20Experience%20Designer&amp;origin=JOB_ALERT_IN_APP_NOTIFICATION&amp;originToLandingJobPostings=4410075873%2C4408180078%2C4409300083%2C4410061712%2C4398377088%2C4408681111&amp;savedSearchId=5198310169&amp;sortBy=R</t>
  </si>
  <si>
    <t>Aplicar y tantear diseñador/PM</t>
  </si>
  <si>
    <r>
      <rPr>
        <rFont val="Arial"/>
        <b/>
        <color rgb="FFFF0000"/>
      </rPr>
      <t>Viktoriia Zabavska</t>
    </r>
    <r>
      <rPr>
        <rFont val="Arial"/>
        <color theme="1"/>
      </rPr>
      <t xml:space="preserve"> Product Design Lead at N-iX Ukraine
Hi Viktoriia! I just applied for the Senior Service Designer role at N-iX. I’ve been working on complex educational platforms, improving navigation and self-service flows, creating UX documentation for cross-functional teams, and designing scalable interfaces and systems in Figma. Happy to connect
En revisión / respuesta automática. Muchas candidaturas, CV guardado y posible contacto futuro. No es un rechazo directo.
</t>
    </r>
    <r>
      <rPr>
        <rFont val="Arial"/>
        <b/>
        <color rgb="FFFF0000"/>
      </rPr>
      <t>Khrystyna Khrun</t>
    </r>
  </si>
  <si>
    <t>Buena oportunidad para reforzar perfil systems + B2B</t>
  </si>
  <si>
    <t>AI-Forward UX Designer</t>
  </si>
  <si>
    <t>Jobgether (cliente anónimo)</t>
  </si>
  <si>
    <t>3–7 años</t>
  </si>
  <si>
    <t>No indicado (~40–55k?)</t>
  </si>
  <si>
    <t>Rol híbrido UX + AI + consultoría, end-to-end, multi-proyecto, foco en rapidez, experimentación y workflows con IA</t>
  </si>
  <si>
    <t>Empresa intermediaria (matching), crecimiento rápido, entorno consultoría/multi-cliente, menos control sobre producto final</t>
  </si>
  <si>
    <t>Alineación parcial: encajas en UX, estructura y systems; buen fit en curiosidad/IA; riesgo en exigencia explícita de uso avanzado de AI y entorno consultoría
Green flags: remote, AI learning, variedad proyectos, crecimiento rápido. 
Red flags: consultoría, menos ownership producto, exigencia AI real, posible rotación/proyectos inestables</t>
  </si>
  <si>
    <t>Data: proyectos variados, no producto propio, enfoque en AI-driven UX workflows</t>
  </si>
  <si>
    <t>Innovación, velocidad, experimentación, adopción de IA, aprendizaje continuo</t>
  </si>
  <si>
    <t>UX designer adaptable, cómodo con ambigüedad, AI en flujo de trabajo, cliente-facing</t>
  </si>
  <si>
    <t>Crecimiento muy rápido (859%), tenure bajo (0.6y), posible inestabilidad, rol no en producto propio</t>
  </si>
  <si>
    <t>Fit medio: interesante para explorar AI + variedad, menos alineado si buscas profundidad en producto/systems</t>
  </si>
  <si>
    <t>We work remotely</t>
  </si>
  <si>
    <t>Secureframe</t>
  </si>
  <si>
    <t>Remote-first (pero preferencia NYC híbrido)</t>
  </si>
  <si>
    <t>Madrid / NYC</t>
  </si>
  <si>
    <t>No indicado (US band alto ~80–120k$, EU probablemente menor)</t>
  </si>
  <si>
    <t>Rol muy potente: B2B SaaS complejo (compliance), ownership real, end-to-end + design system + producto estratégico</t>
  </si>
  <si>
    <t>Empresa fuerte, VC-backed, crecimiento alto, producto serio en cybersecurity/compliance (sector sólido)</t>
  </si>
  <si>
    <t>Muy alineado contigo: sistemas, complejidad, SaaS, accesibilidad aplicable; encaje alto si comunicas bien product thinking
Green flags: producto complejo (tu fuerte), systems, ownership real, aprendizaje brutal, empresa sólida. 
Red flags: ubicación (clave), posible desventaja EU vs US, exigencia alta, dominio técnico del dominio (compliance)</t>
  </si>
  <si>
    <t>SaaS B2B compliance (audits, frameworks, controls), producto técnico y regulado</t>
  </si>
  <si>
    <t>Ownership, colaboración, excelencia, iteración, producto serio, cultura tech</t>
  </si>
  <si>
    <t>Product designer senior con systems thinking, capaz de trabajar en complejidad y con dev/product, comunicar decisiones</t>
  </si>
  <si>
    <t>⚠️ Preferencia NYC (riesgo real), contexto US (horarios), alta exigencia, posible presión y ritmo alto</t>
  </si>
  <si>
    <t>https://jobs.lever.co/secureframe/74d169be-5146-4839-9692-edc5ffd22efb</t>
  </si>
  <si>
    <t>Fit alto en skills, pero riesgo logístico grande por ubicación; viable si aceptan remote real desde España</t>
  </si>
  <si>
    <t>Figma</t>
  </si>
  <si>
    <t>Product Designer (Design, Dev &amp; AI Tools)</t>
  </si>
  <si>
    <t>Remote (solo US) / hubs US</t>
  </si>
  <si>
    <t>Madrid / US</t>
  </si>
  <si>
    <t>$169K–$303K (US, no aplicable EU)</t>
  </si>
  <si>
    <t>Rol top product: systems, complejidad, AI, dev tools, impacto alto, muy estratégico y técnico</t>
  </si>
  <si>
    <t>Empresa top producto, referencia en diseño, cultura fuerte de calidad y colaboración</t>
  </si>
  <si>
    <t>Encaje alto en skills (systems, UX, producto), muy alineado con cómo trabajas; gap menor en parte técnica/AI avanzada pero asumible
Green flags: encaje real contigo, producto referente, systems + complejidad (tu fuerte), crecimiento brutal. 
Red flags: ubicación (no viable), nivel muy alto, fuerte competencia</t>
  </si>
  <si>
    <t>Producto core de diseño colaborativo, herramientas complejas, AI, workflows creativos</t>
  </si>
  <si>
    <t>Calidad, craft, colaboración, sistemas, impacto global, crecimiento continuo</t>
  </si>
  <si>
    <t>Product designer con systems thinking, cómodo con complejidad, buen nivel de ejecución y colaboración técnica</t>
  </si>
  <si>
    <t>🔴 Solo US (bloqueo total), alta exigencia, proceso competitivo, nivel alto de benchmark</t>
  </si>
  <si>
    <t>https://job-boards.greenhouse.io/figma/jobs/5711468004?gh_jid=5711468004</t>
  </si>
  <si>
    <t>Fit alto en perfil pero no accesible desde Madrid; útil como referencia de posicionamiento</t>
  </si>
  <si>
    <t>Indeed</t>
  </si>
  <si>
    <t>Senior UX Designer Cyber Asset Intelligence</t>
  </si>
  <si>
    <t>Lansweeper</t>
  </si>
  <si>
    <t>Remote-first</t>
  </si>
  <si>
    <t>Alicante / España</t>
  </si>
  <si>
    <t>Rol muy fuerte en UX complejo B2B SaaS, cybersecurity, data-heavy workflows, systems y research estratégico</t>
  </si>
  <si>
    <t>Empresa sólida tech/cybersecurity, producto complejo y en crecimiento, enfoque serio B2B</t>
  </si>
  <si>
    <t>Muy alineado contigo: complejidad, systems, UX estructural, accesibilidad aplicable, research y colaboración técnica; probablemente uno de tus mejores fits
Green flags: systems thinking, UX maturity, B2B complejo, remote España, research + design systems + AI workflows, muy alineado con tu perfil. 
Red flags: dominio cyber muy técnico, posible curva de entrada fuerte, mucha responsabilidad individual</t>
  </si>
  <si>
    <t>Cyber Asset Intelligence platform (IT assets, risk, compliance, permissions, dashboards)</t>
  </si>
  <si>
    <t>One Team, We Care, We Grow, We Deliver</t>
  </si>
  <si>
    <t>Senior UX/Product Designer cómodo con complejidad, research, sistemas y colaboración con dev/product</t>
  </si>
  <si>
    <t>⚠️ Cybersecurity domain puede intimidar al inicio; alto nivel de complejidad técnica; esperan autonomía real</t>
  </si>
  <si>
    <t>https://es.indeed.com/jobs?q=product+designer&amp;from=searchOnHP&amp;start=10&amp;vjk=b6be1af10effc5dc</t>
  </si>
  <si>
    <t>De las ofertas más alineadas contigo actualmente; muy buen fit estratégico y de crecimiento</t>
  </si>
  <si>
    <t>Kevel</t>
  </si>
  <si>
    <t>España / EU</t>
  </si>
  <si>
    <t>8+ años</t>
  </si>
  <si>
    <t>No indicado (~50–70k?)</t>
  </si>
  <si>
    <t>Rol senior muy estratégico: systems, visión producto, UX/UI end-to-end, research, AI workflows y liderazgo transversal</t>
  </si>
  <si>
    <t>Empresa ad-tech SaaS sólida, remote-first real, cultura muy fuerte de transparencia y autonomía</t>
  </si>
  <si>
    <t>Muy alineado contigo en systems, complejidad, colaboración con dev y estructuración de producto; algo más senior/estratégico de lo que has vendido hasta ahora
Green flags: remote real desde España, systems + design systems, colaboración técnica, cultura transparente, UX maduro, AI workflows, autonomía. 
Red flags: seniority alta, mucha responsabilidad estratégica, ad-tech complejo, posible expectativa de leadership más fuerte de lo que has comunicado</t>
  </si>
  <si>
    <t>Infraestructura APIs para retail media y plataformas publicitarias AI-driven</t>
  </si>
  <si>
    <t>Transparencia, autonomía, inclusividad, remote culture, confianza</t>
  </si>
  <si>
    <t>Product designer estratégico con systems thinking, autonomía, visión producto y capacidad de influir en dirección</t>
  </si>
  <si>
    <t>⚠️ Piden 8+ años y liderazgo fuerte; ad-tech puede ser menos “humano”/emocional; mucha autonomía esperada</t>
  </si>
  <si>
    <t>https://es.indeed.com/viewjob?jk=96e8f6062ada6e9f&amp;tk=1jnv1kqodhbft805&amp;from=hp&amp;xpse=SoDy67I3k_LabRTNjh0LbzkdCdPP&amp;xfps=08b9693a-28e6-45a4-8188-01328078e716&amp;xkcb=SoA467M3k_LchLTDRB0LbzkdCdPP</t>
  </si>
  <si>
    <t>Fit alto-medio: muy alineado estructuralmente contigo, pero exige posicionarte con más seniority y ownership</t>
  </si>
  <si>
    <t>Hypervolt</t>
  </si>
  <si>
    <t>Híbrido (3 días oficina)</t>
  </si>
  <si>
    <t>No especificado (~40–60k?)</t>
  </si>
  <si>
    <t>Rol muy UI/product consumer, foco en craft, simplicidad, apps y experiencia visual muy cuidada</t>
  </si>
  <si>
    <t>Empresa EV tech en crecimiento brutal, muy orientada a marca, diseño y producto consumo premium</t>
  </si>
  <si>
    <t>Encaje mixto: buena alineación en UX/UI, systems y claridad visual; menos alineado en B2B complejo/profundidad estructural que suele encajarte más</t>
  </si>
  <si>
    <t>Apps EV consumer + dashboards + service portal + fleet tools
Green flags: Madrid, producto cuidado, cultura diseño fuerte, mezcla consumer + dashboards, crecimiento rápido, energía/sostenibilidad. 
Red flags: mucha exigencia visual/craft, menos foco research/systems profundos, cultura intensa tipo startup visionaria</t>
  </si>
  <si>
    <t>Simplicidad, obsesión por diseño, ownership, ambición, startup mindset, sostenibilidad</t>
  </si>
  <si>
    <t>Product designer con buen craft visual, rapidez, autonomía y sensibilidad producto</t>
  </si>
  <si>
    <t>⚠️ Startup intensa, cultura muy aspiracional/Apple-like, posible presión alta y ritmo rápido, híbrido 3 días</t>
  </si>
  <si>
    <t>https://es.indeed.com/viewjob?from=app-tracker-post_apply-appcard&amp;hl=es&amp;jk=c262bff7b41546f5&amp;tk=1jnv4n41aggh8800</t>
  </si>
  <si>
    <t>Fit medio-alto: puede encajarte bien si quieres algo más visual/product-focused sin perder cierta complejidad</t>
  </si>
  <si>
    <t>edclub</t>
  </si>
  <si>
    <t>USA remote / desde España posible</t>
  </si>
  <si>
    <t>3–5 años</t>
  </si>
  <si>
    <t>No indicado (~35–50k?)</t>
  </si>
  <si>
    <t>Rol más orientado a contenido educativo, visual design, motion y engagement para estudiantes</t>
  </si>
  <si>
    <t>Empresa edtech centrada en aprendizaje K-12 y contenido educativo interactivo</t>
  </si>
  <si>
    <t>Encaje parcial: alineado con educación, accesibilidad y UX; menos alineado con producto complejo/systems y más cercano a content design visual
Green flags: edtech (ya tienes experiencia), remoto, impacto educativo, accesibilidad, trabajo visual creativo. 
Red flags: menos producto/SaaS, menos systems thinking, más diseño gráfico/motion de lo que haces normalmente</t>
  </si>
  <si>
    <t>Educational content platform (K-12 learning experiences)</t>
  </si>
  <si>
    <t>Creatividad, aprendizaje, accesibilidad, engagement educativo</t>
  </si>
  <si>
    <t>Designer visual/UI con sensibilidad educativa, motion y storytelling</t>
  </si>
  <si>
    <t>⚠️ Mucho peso en ilustración/animación/motion; puede ser menos estratégico y más execution/content production</t>
  </si>
  <si>
    <t>https://es.indeed.com/viewjob?from=app-tracker-post_apply-appcard&amp;hl=es&amp;jk=25f02c891e182870&amp;tk=1jnv4n41aggh8800</t>
  </si>
  <si>
    <t>Fit medio: encaja por sector y sensibilidad UX, pero se aleja de tu dirección más product/system/B2B</t>
  </si>
  <si>
    <t>Nacar</t>
  </si>
  <si>
    <t>No indicado (~38–50k?)</t>
  </si>
  <si>
    <t>Rol agency/innovation hub: UX/UI end-to-end, workshops, design systems, prototipado y colaboración multidisciplinar</t>
  </si>
  <si>
    <t>Agencia de diseño estratégico bastante reconocida, muy orientada a innovación, branding y producto digital</t>
  </si>
  <si>
    <t>Encaje bastante bueno: systems, UX/UI, workshops, colaboración con devs y producto; también conecta con tu lado más conceptual y visual
🟢 Green flags: cultura diseño fuerte, buen entorno creativo, systems + workshops + producto, internacional, híbrido flexible, aprendizaje transversal. 
🔴 Red flags: entorno agencia (menos ownership largo plazo), posible ritmo intenso/muchos proyectos, menos profundidad de producto que SaaS puro
Fit alto-medio: muy alineado con tu perfil híbrido entre systems, UX y sensibilidad visual/conceptual</t>
  </si>
  <si>
    <t>Consultoría/innovation studio trabajando producto digital, servicios y estrategia para clientes internacionales</t>
  </si>
  <si>
    <t>Human-centered design, innovación, colaboración, creatividad, crecimiento, cultura diseño</t>
  </si>
  <si>
    <t>Designer híbrido entre UX/UI, estrategia y craft visual, cómodo en workshops y entornos multidisciplinares</t>
  </si>
  <si>
    <t>https://es.indeed.com/viewjob?from=app-tracker-post_apply-appcard&amp;hl=es&amp;jk=1e1d31dbdffdd643&amp;tk=1jnv4n41aggh8800</t>
  </si>
  <si>
    <t>Naturgy</t>
  </si>
  <si>
    <t>Rol corporativo bastante transversal: UX/UI, discovery, roadmap, design systems y cierta gestión/mentoring</t>
  </si>
  <si>
    <t>Gran corporación energética en transformación digital, entorno estable y muy orientado a negocio/procesos</t>
  </si>
  <si>
    <t>Encaje medio-alto: buena alineación en UX, accesibilidad, systems y trabajo cross-funcional; menos alineado si buscas entorno muy producto-tech/startup</t>
  </si>
  <si>
    <t>Plataforma de atención al cliente y digitalización de servicios energéticos</t>
  </si>
  <si>
    <t>Sostenibilidad, innovación, transformación digital, diversidad, colaboración</t>
  </si>
  <si>
    <t>Product designer con visión estratégica, UX maturity y capacidad de coordinar equipos/procesos</t>
  </si>
  <si>
    <t>🟢 Green flags: estabilidad, producto complejo, impacto real, accesibilidad/design systems, posibilidad de crecer en liderazgo. 🔴 Red flags: corporación grande (más burocracia/lentitud), posible madurez UX desigual, menos innovación real de la que venden, parte de mentoring quizás más senior de lo que has hecho formalmente</t>
  </si>
  <si>
    <t>https://career5.successfactors.eu/career?career_ns=job_listing&amp;company=C0000880172P&amp;navBarLevel=JOB_SEARCH&amp;career_job_req_id=13041</t>
  </si>
  <si>
    <t>Fit medio-alto: bastante coherente contigo si buscas estabilidad y producto complejo, menos si priorizas entorno muy creativo o tech-forward</t>
  </si>
  <si>
    <t>Xsolla</t>
  </si>
  <si>
    <t>No especificado (probablemente remote/híbrido internacional)</t>
  </si>
  <si>
    <t>Global / gaming</t>
  </si>
  <si>
    <t>No indicado (~50–80k?)</t>
  </si>
  <si>
    <t>Rol B2C gaming muy centrado en engagement, monetización, psicología jugador y gamificación</t>
  </si>
  <si>
    <t>Empresa fuerte en gaming commerce y monetización para videojuegos, muy producto/negocio</t>
  </si>
  <si>
    <t>Encaje parcial: conecta con tu interés en gaming y UX emocional, pero muy enfocado en monetización, retention y behavioral design</t>
  </si>
  <si>
    <t>Consumer gaming products: loyalty systems, web stores, rewards, engagement flows</t>
  </si>
  <si>
    <t>Player engagement, gamification, monetization, experimentation, retention</t>
  </si>
  <si>
    <t>Product designer orientado a comportamiento usuario, métricas y engagement B2C</t>
  </si>
  <si>
    <t>🟢 Green flags: gaming, systems thinking, interacción/emoción, producto consumer potente, posible crecimiento en B2C. 🔴 Red flags: piden mucha experiencia gaming/B2C/gamification, enfoque fuerte en conversión y monetización, menos alineado con tu experiencia real en SaaS/educación</t>
  </si>
  <si>
    <t>Fit medio-bajo: interesante por gaming y UX emocional, pero probablemente demasiado especializado en monetización y behavioral product design</t>
  </si>
  <si>
    <t>Product Designer (Customer Support Spain)</t>
  </si>
  <si>
    <t>Prima</t>
  </si>
  <si>
    <t>No especificado (~40–55k?)</t>
  </si>
  <si>
    <t>Rol UX/UI bastante sólido en producto interno/customer support, mezcla de research, workflows complejos, datos y accesibilidad</t>
  </si>
  <si>
    <t>Empresa insurtech muy fuerte en crecimiento, bastante orientada a producto, datos y optimización</t>
  </si>
  <si>
    <t>Encaje bastante alto: complejidad de flujos, systems, accesibilidad, UX estructural y colaboración cross-funcional muy alineados contigo</t>
  </si>
  <si>
    <t>Customer support tools, policy management, operational workflows, CRM/support experiences</t>
  </si>
  <si>
    <t>Data-driven product, crecimiento, colaboración, accesibilidad, optimización</t>
  </si>
  <si>
    <t>Product designer con mentalidad analítica, cómodo simplificando procesos complejos y trabajando con datos</t>
  </si>
  <si>
    <t>🟢 Green flags: producto complejo real, UX maturity bastante buena, accesibilidad, systems, hybrid flexible, buen equilibrio negocio/UX. 🔴 Red flags: dominio insurance puede sentirse menos inspirador, bastante orientado a eficiencia operacional y métricas, posible carga corporativa/procesos internos</t>
  </si>
  <si>
    <t>Fit alto: probablemente una de las ofertas más coherentes contigo a nivel realista y profesional</t>
  </si>
  <si>
    <t>Google</t>
  </si>
  <si>
    <t>Alan</t>
  </si>
  <si>
    <t>No indicado (~50–70k + equity?)</t>
  </si>
  <si>
    <t>Rol product designer muy completo: discovery, visión producto, UX/UI, systems, research, storytelling y colaboración fuerte con PM/engineering</t>
  </si>
  <si>
    <t>Scaleup healthtech/insurtech muy reconocida por cultura producto y diseño</t>
  </si>
  <si>
    <t>Encaje muy alto: systems thinking, accesibilidad, producto complejo, diseño humano, research, comunicación escrita y sensibilidad UX muy alineados contigo</t>
  </si>
  <si>
    <t>Healthcare platform: app, servicios salud, seguros, member experience, journeys digitales</t>
  </si>
  <si>
    <t>Producto, transparencia, ownership, simplicidad, excelencia, crecimiento, impacto humano</t>
  </si>
  <si>
    <t>Product designer estratégico con autonomía, visión producto y sensibilidad fuerte hacia experiencia humana</t>
  </si>
  <si>
    <t>🟢 Green flags: cultura producto muy madura, diseño valorado de verdad, producto complejo con impacto humano, mentorship/coaching, systems + UX + storytelling, bastante alineado con tu manera de pensar diseño. 🔴 Red flags: estándares muy altos, cultura intensa/high performance, bastante exigencia de ownership y comunicación escrita, posible presión de execution/product velocity</t>
  </si>
  <si>
    <t>https://jobs.ashbyhq.com/alan/4cfa1d2f-c930-4ae5-90c6-96eb1c8ada7f</t>
  </si>
  <si>
    <t>Fit muy alto: probablemente una de las empresas más alineadas contigo en cultura diseño, complejidad producto y valores</t>
  </si>
  <si>
    <t>Product Designer, Global</t>
  </si>
  <si>
    <t>Stripe</t>
  </si>
  <si>
    <t>6+ años</t>
  </si>
  <si>
    <t>€74k–€112k</t>
  </si>
  <si>
    <t>Rol product design muy fuerte en sistemas globales, checkout, localización, compliance y experiencias financieras complejas</t>
  </si>
  <si>
    <t>Una de las empresas tech/product más fuertes y maduras del mundo en fintech e infraestructura digital</t>
  </si>
  <si>
    <t>Encaje medio-alto aspiracional: muy alineado en complejidad, systems thinking, accesibilidad y claridad UX; gap principal en escala ultra-big-tech y fintech/global growth</t>
  </si>
  <si>
    <t>Infraestructura financiera global, checkout, dashboard, payments, cross-border experiences</t>
  </si>
  <si>
    <t>Calidad producto, craft, simplicidad, impacto global, colaboración cross-functional</t>
  </si>
  <si>
    <t>Product designer estratégico con systems thinking fuerte, buena comunicación y capacidad de simplificar complejidad</t>
  </si>
  <si>
    <t>🟢 Green flags: producto extremadamente sólido, cultura diseño madura, remoto, salario muy alto, systems/product complexity muy alineados contigo, research + prototyping + design systems. 🔴 Red flags: barra muy alta, competencia brutal, esperan experiencia tech/product muy consolidada y probablemente portfolios con impacto cuantificable a gran escala</t>
  </si>
  <si>
    <t>https://www.linkedin.com/jobs/search/?alertAction=viewjobs&amp;currentJobId=4410704271&amp;distance=25&amp;f_TPR=a1777973913-&amp;f_WT=1%2C3%2C2&amp;geoId=105646813&amp;keywords=User%20Experience%20Designer&amp;origin=JOB_ALERT_IN_APP_NOTIFICATION&amp;originToLandingJobPostings=4410588797%2C4409338331%2C4389885900%2C4409353134%2C4410560005%2C4410704271&amp;savedSearchId=5198310169&amp;sortBy=R</t>
  </si>
  <si>
    <t>Fit medio-alto aspiracional: de las más alineadas conceptualmente contigo, aunque bastante exigente por nivel y contexto big tech</t>
  </si>
  <si>
    <t>Hostinger</t>
  </si>
  <si>
    <t>España / Europa</t>
  </si>
  <si>
    <t>Desde €54k aprox</t>
  </si>
  <si>
    <t>Rol product designer consumer-focused, bastante autónomo y orientado a research, iteración, métricas y ownership end-to-end</t>
  </si>
  <si>
    <t>Empresa tech bastante consolidada en hosting/web products, muy growth-oriented y orientada a producto digital global</t>
  </si>
  <si>
    <t>Encaje bastante alto: UX estructural, systems, research, accesibilidad y colaboración cross-functional muy alineados contigo</t>
  </si>
  <si>
    <t>Web products/tools para pequeños negocios y creadores digitales</t>
  </si>
  <si>
    <t>Customer obsession, ownership, growth, autonomía, experimentación</t>
  </si>
  <si>
    <t>Product designer autónomo con capacidad de research, systems thinking y visión producto</t>
  </si>
  <si>
    <t>🟢 Green flags: remoto Europa real, salario bastante bueno para España, cultura producto madura, ownership real, research + analytics + systems, producto tech sólido. 🔴 Red flags: ritmo probablemente intenso/growth-heavy, mucha autonomía esperada, fuerte foco performance/product metrics, cultura “high performance” bastante marcada</t>
  </si>
  <si>
    <t>https://www.linkedin.com/jobs/search/?alertAction=viewjobs&amp;currentJobId=4410987223&amp;distance=25&amp;f_TPR=a1777973913-&amp;f_WT=1%2C3%2C2&amp;geoId=105646813&amp;keywords=User%20Experience%20Designer&amp;origin=JOB_ALERT_IN_APP_NOTIFICATION&amp;originToLandingJobPostings=4410588797%2C4409338331%2C4389885900%2C4409353134%2C4410560005%2C4410704271&amp;savedSearchId=5198310169&amp;sortBy=R</t>
  </si>
  <si>
    <t>Fit alto: bastante coherente con hacia dónde quieres moverte profesionalmente</t>
  </si>
  <si>
    <r>
      <rPr>
        <rFont val="Arial"/>
        <b/>
        <color rgb="FFFF0000"/>
      </rPr>
      <t xml:space="preserve">Jurga Povilenaite </t>
    </r>
    <r>
      <rPr>
        <rFont val="Arial"/>
      </rPr>
      <t xml:space="preserve">
Retention | Monetization | Lifecycle marketing @ Hostinger
Hi Jurga,
What a coincidence to come across another Oxford University Press background through this role. I’ve just applied for the Product Designer position at Hostinger. I was actually looking for a more product-driven and technology-focused environment, so the combination of ownership, iterative design and collaboration across teams felt very aligned with what I’m looking for.A big part of my experience has been around accessibility, design systems, structuring complex workflows and collaborating closely with product and development teams to create scalable and more usable experiences.Here’s my portfolio in case useful during the process: </t>
    </r>
    <r>
      <rPr>
        <rFont val="Arial"/>
        <color rgb="FF1155CC"/>
        <u/>
      </rPr>
      <t>https://abadisedraoui.wixstudio.com/portfolio.</t>
    </r>
    <r>
      <rPr>
        <rFont val="Arial"/>
      </rPr>
      <t xml:space="preserve"> I’d be happy to connect and remain at your disposal if any additional information would be helpful.</t>
    </r>
  </si>
  <si>
    <t>Diseñador/a UX/UI | Diseño de Producto</t>
  </si>
  <si>
    <t>Knowmad Mood</t>
  </si>
  <si>
    <t>100% remoto</t>
  </si>
  <si>
    <t>No indicado (~35–45k probable)</t>
  </si>
  <si>
    <t>Rol UX/UI bastante completo orientado a producto digital, research, accesibilidad, design systems y colaboración Agile</t>
  </si>
  <si>
    <t>Consultora/compañía de transformación digital con muchos clientes y proyectos</t>
  </si>
  <si>
    <t>Encaje alto: accesibilidad, UX research, systems, SaaS y colaboración multifuncional muy alineados contigo</t>
  </si>
  <si>
    <t>Productos digitales variados, posiblemente enterprise/data/IA dependiendo del cliente</t>
  </si>
  <si>
    <t>Colaboración, flexibilidad, innovación, trabajo remoto, producto digital</t>
  </si>
  <si>
    <t>Perfil UX/UI híbrido con research + UI + systems + accesibilidad</t>
  </si>
  <si>
    <t>🟢 Green flags: remoto real, encaje técnico muy fuerte contigo, accesibilidad y design systems valorados, inglés útil, IA/data bien vistos, bastante alineado con tu experiencia real. 🔴 Red flags: consultoría grande → calidad de proyectos puede variar mucho según cliente, posible ritmo cambiante/context switching, quizá menos ownership producto que en product companies</t>
  </si>
  <si>
    <t>https://www.glassdoor.es/Empleo/index.htm?utm_source=jobsForYou&amp;utm_medium=email&amp;utm_content=jobs-for-you-jobsForYou-jobpos1-agejp-1010125378390&amp;utm_campaign=jobsForYou&amp;src=GD_JOB_AD&amp;uido=188245E844162D879F5F29DB2A3A2722&amp;ao=1136043&amp;jrtk=5-yul1-1-1jo0b916ggmvp800-d814926c97a64278&amp;cs=1_8dcb86f6&amp;s=362&amp;t=REC_JOBS&amp;pos=101&amp;guid=0000019df5dbec20a7ac2aae6a53f530&amp;jobListingId=1010125378390&amp;rdforyou=true&amp;vt=e&amp;cb=1778128291231&amp;gdir=1</t>
  </si>
  <si>
    <t>Fit alto-medio: muy viable y probablemente de las ofertas donde más match directo haces</t>
  </si>
  <si>
    <t xml:space="preserve">CURRO EXTRA ➕ </t>
  </si>
  <si>
    <t>Graphic Designer / AI Training</t>
  </si>
  <si>
    <t>SME Careers / SuperAnnotate</t>
  </si>
  <si>
    <t>2+ años</t>
  </si>
  <si>
    <t>Hasta $60/h contractor</t>
  </si>
  <si>
    <t>Rol híbrido entre creatividad, evaluación visual y entrenamiento de modelos AI</t>
  </si>
  <si>
    <t>Empresa de AI data/training trabajando para grandes labs de IA</t>
  </si>
  <si>
    <t>Encaje bastante interesante contigo por perfil híbrido entre UX, visual systems, análisis y pensamiento estructural</t>
  </si>
  <si>
    <t>Evaluar/generar prompts, reasoning visual, quality review y training de modelos IA</t>
  </si>
  <si>
    <t>Creatividad, análisis crítico, autonomía, trabajo async</t>
  </si>
  <si>
    <t>Perfil creativo-analítico capaz de evaluar calidad visual y estructurar razonamiento</t>
  </si>
  <si>
    <t>🟢 Green flags: remoto flexible, bastante alineado con tu curiosidad visual/analítica, IA aplicada, libertad horaria, puede complementar portfolio y experiencia AI. 🔴 Red flags: contractor/freelance, probablemente trabajo repetitivo por batches, menos diseño producto real, posible fatiga cognitiva, ingresos variables según tareas aprobadas</t>
  </si>
  <si>
    <t>https://sme.careers/dashboard</t>
  </si>
  <si>
    <t>Fit medio-alto: muy alineado contigo intelectualmente, aunque menos alineado con crecimiento UX/product tradicional</t>
  </si>
  <si>
    <r>
      <rPr>
        <rFont val="Arial"/>
        <color rgb="FF1155CC"/>
        <u/>
      </rPr>
      <t>Hays</t>
    </r>
  </si>
  <si>
    <t>Muy orientado a producto digital complejo, Lean UX, AI workflows y colaboración cross-functional</t>
  </si>
  <si>
    <t>Parece un tech hub internacional moderno con foco fuerte en producto y AI</t>
  </si>
  <si>
    <t>🟢 Green flags: probablemente de las ofertas más alineadas contigo a nivel real; UX estratégico + ejecución, accesibilidad, design systems, research, workflows complejos, AI y systems thinking. Tu experiencia en Oxford encaja muchísimo aquí. 🔴 Red flags: híbrido en Barcelona, probablemente entorno exigente/rápido, posible ambigüedad porque Hays es intermediario y no se ve la empresa real</t>
  </si>
  <si>
    <t>Recruiting para empresa internacional/Tech Hub</t>
  </si>
  <si>
    <t>Lean UX, colaboración, AI-assisted workflows, data-driven design, ownership</t>
  </si>
  <si>
    <t>Perfil SaaS/product/enterprise con pensamiento estructural y visual</t>
  </si>
  <si>
    <t>Diseño para humanos + agentes AI/synthetic users</t>
  </si>
  <si>
    <t>https://www.linkedin.com/jobs/search/?alertAction=viewjobs&amp;currentJobId=4408814284&amp;distance=25&amp;f_TPR=a1778059733-&amp;f_WT=1%2C3%2C2&amp;geoId=105646813&amp;keywords=User%20Experience%20Designer&amp;origin=JOB_ALERT_IN_APP_NOTIFICATION&amp;originToLandingJobPostings=4408814284%2C4408802896%2C4398689660%2C4390329469%2C4408870456%2C4410991322&amp;savedSearchId=5198310169&amp;sortBy=R</t>
  </si>
  <si>
    <t>De las ofertas más coherentes contigo de los últimos días</t>
  </si>
  <si>
    <t>Muy buen encaje profesional, menos viable si no quieres híbrido Barcelona</t>
  </si>
  <si>
    <t>Product Designer Senior (UX/UI)</t>
  </si>
  <si>
    <r>
      <rPr>
        <rFont val="Arial"/>
        <color rgb="FF1155CC"/>
        <u/>
      </rPr>
      <t>Product Hackers</t>
    </r>
  </si>
  <si>
    <t>30–35k</t>
  </si>
  <si>
    <t>Muy orientado a producto digital, CRO, experimentation y diseño rápido orientado a validación</t>
  </si>
  <si>
    <t>Empresa bastante conocida en producto/growth en España, cultura intensa pero moderna</t>
  </si>
  <si>
    <t>🟢 Green flags: remoto real, bastante alineado con UX research + systems + prototyping + design systems. Valoran autonomía, workshops, producto y colaboración con devs. Tu experiencia en Oxford, accesibilidad y workflows complejos encaja bastante bien. 🔴 Red flags: cultura probablemente muy “high energy/startup”, obsesión por velocidad/performance, mucho stakeholder/client-facing y posible carga alta. Salario algo bajo para senior. Puede tender más a growth/CRO que a producto profundo</t>
  </si>
  <si>
    <t>Consultora/product studio centrada en growth y productos digitales</t>
  </si>
  <si>
    <t>Experimentación, autonomía, aprendizaje, rapidez, ownership</t>
  </si>
  <si>
    <t>Perfil híbrido UX/UI fuerte en research, systems y prototipado</t>
  </si>
  <si>
    <t>Mucho foco en presentar/defender decisiones y trabajar rápido</t>
  </si>
  <si>
    <t>https://producthackers.teamtailor.com/jobs/6401103-product-designer-senior-ux-ui-espana</t>
  </si>
  <si>
    <t>Buen fit funcional contigo, aunque quizá algo intenso a nivel ritmo y cultura</t>
  </si>
  <si>
    <t>Fit medio-alto: muy buena alineación técnica, menos clara a nivel energía/cultura a largo plazo</t>
  </si>
  <si>
    <r>
      <rPr>
        <rFont val="Arial"/>
        <color theme="1"/>
      </rPr>
      <t xml:space="preserve">
Carolina Moreno
Growth Design Manager
¡Hola zainab! 🤗
Gracias por postularte a la oferta de Product Designer Senior (UX/UI) [España]. Te confirmamos que hemos recibido tu currículum correctamente 🙌
Estamos recibiendo muchas candidaturas, por lo que el proceso de revisión puede llevar algunos días. Te daremos feedback sobre tu perfil lo antes posible.
Queremos contarte que esta búsqueda está abierta con el objetivo de identificar perfiles con potencial para futuras oportunidades y nutrir nuestro pipeline de talento.
👉 En este momento no hay una vacante inmediata para cubrir, pero si te interesa avanzar, puedes responder a este correo para hacérnoslo saber.
A partir de tu respuesta, nuestro equipo evaluará tu perfil y, si se ajusta a lo que buscamos, coordinaremos una entrevista para conocerte mejor y dejar tus datos registrados. Así, podremos contactarte directamente cuando se abra una vacante adecuada.
Si además quieres sumar algo más a tu postulación, también puedes hacerlo respondiendo a este mensaje.
¡Gracias nuevamente por tu interés! 🚀
Un saludo.
</t>
    </r>
    <r>
      <rPr>
        <rFont val="Arial"/>
        <b/>
        <color rgb="FFFF0000"/>
      </rPr>
      <t>Camila Cordobés</t>
    </r>
    <r>
      <rPr>
        <rFont val="Arial"/>
        <color theme="1"/>
      </rPr>
      <t xml:space="preserve">
People Operations &amp; Learning Specialist </t>
    </r>
  </si>
  <si>
    <r>
      <rPr>
        <color rgb="FF1155CC"/>
        <u/>
      </rPr>
      <t>Fundraise Up</t>
    </r>
  </si>
  <si>
    <t>7+ años</t>
  </si>
  <si>
    <t>Producto SaaS centrado en fundraising/conversiones para nonprofits</t>
  </si>
  <si>
    <t>Empresa tech bastante sólida y muy product-driven, foco fuerte en performance y optimización</t>
  </si>
  <si>
    <t>🟢 Green flags: remoto real, producto con impacto social, SaaS complejo, foco en UX/conversion/performance, bastante systems thinking y ownership. Tu experiencia en plataformas complejas, accesibilidad, workflows y producto encaja bastante mejor de lo que parece al principio. 🔴 Red flags: el ruso parece bastante importante culturalmente/internamente, cultura posiblemente muy intensa y exigente (“redo everything from scratch”, feedback duro, muchas iteraciones). Puede ser entorno muy perfectionist/performance-driven. También piden 7+ años y parece un equipo muy hardcore de producto</t>
  </si>
  <si>
    <t>Plataforma de donaciones/fundraising para grandes nonprofits</t>
  </si>
  <si>
    <t>Transparencia, iteración, exigencia alta, ownership, colaboración técnica</t>
  </si>
  <si>
    <t>Perfil senior product/SaaS con capacidad analítica y visual fuerte</t>
  </si>
  <si>
    <t>Test assignment probablemente exigente pero remunerado</t>
  </si>
  <si>
    <t>https://www.linkedin.com/jobs/collections/recommended/?currentJobId=4384232830</t>
  </si>
  <si>
    <t>Bastante interesante por producto y remoto, pero cultura quizá dura/intensa para sostener mucho tiempo</t>
  </si>
  <si>
    <t>Fit medio-alto: muy buen match técnico/producto, más dudoso culturalmente y por seniority pedida</t>
  </si>
  <si>
    <t>Thinkproject</t>
  </si>
  <si>
    <t>3+ años UX/UI SaaS B2B</t>
  </si>
  <si>
    <t>40k–55k</t>
  </si>
  <si>
    <t>Muy alineado con accesibilidad, systems y workflows complejos</t>
  </si>
  <si>
    <t>Parece bastante madura en producto/design</t>
  </si>
  <si>
    <t>Alta prioridad</t>
  </si>
  <si>
    <t>Plataforma SaaS para construcción e infraestructuras</t>
  </si>
  <si>
    <t>Colaboración, ownership, learning</t>
  </si>
  <si>
    <t>UX/UI + research + design systems + accessibility</t>
  </si>
  <si>
    <t>Material Design, Scrum, Figma, prototipado hi-fi</t>
  </si>
  <si>
    <t>https://careers.thinkproject.com/Senior-UXUI-Designer-fmd-eng-j1521.html</t>
  </si>
  <si>
    <t>Muy encaje Oxford/Plytix</t>
  </si>
  <si>
    <t>Empresa enterprise con producto complejo y foco real en diseño UX</t>
  </si>
  <si>
    <t>Staff Product Designer - Travel</t>
  </si>
  <si>
    <t>Perk (TravelPerk)</t>
  </si>
  <si>
    <t>Híbrido / IRL-first</t>
  </si>
  <si>
    <t>Staff-level IC / product ownership / AI workflows</t>
  </si>
  <si>
    <t>No especificado (~75k–110k + equity estimado)</t>
  </si>
  <si>
    <t>Rol muy senior y estratégico: ownership completo de la experiencia de vuelos, discovery, research, métricas, AI prototyping y liderazgo de craft</t>
  </si>
  <si>
    <t>Empresa bastante sólida dentro de SaaS europeo; cultura product madura, fuerte crecimiento y mucho foco en execution/calidad</t>
  </si>
  <si>
    <t>Honestamente, creo que el nivel “Staff” probablemente está algo por encima de tu seniority actual, sobre todo por la expectativa de influencia estratégica, ownership a escala y experiencia liderando producto en entornos SaaS muy maduros. Aun así, hay partes donde sí encajas bastante: systems thinking, claridad UX, accesibilidad, trabajo cross-functional y capacidad analítica. También encajarías bien culturalmente en la parte de curiosity y craft. El gap principal está en haber llevado ownership end-to-end a escala grande y en la fluidez técnica/AI-prototyping que buscan como estándar diario.</t>
  </si>
  <si>
    <t>A SaaS global de travel &amp; spend management con +10k empresas clientes y enfoque en productividad</t>
  </si>
  <si>
    <t>Ownership, craft, velocidad, colaboración, producto, impacto, AI-first</t>
  </si>
  <si>
    <t>Perfil parcialmente alineado: fuerte base UX/product, pero rol probablemente un nivel por encima hoy mismo</t>
  </si>
  <si>
    <t>Expectativas muy altas + entorno bastante intenso + híbrido 3 días Barcelona</t>
  </si>
  <si>
    <t>https://www.linkedin.com/jobs/collections/recommended/?currentJobId=4405535674&amp;discover=recommended&amp;discoveryOrigin=JOBS_HOME_JYMBII</t>
  </si>
  <si>
    <t>Muy buena empresa para aspirar a futuro; quizá mejor target en Senior Product Designer que Staff ahora mismo</t>
  </si>
  <si>
    <t>Media-baja</t>
  </si>
  <si>
    <t>Muy potente como aspiracional y para medir mercado top product europeo, pero probablemente exigente para tu momento actual</t>
  </si>
  <si>
    <t>Senior Product Designer - Auth0</t>
  </si>
  <si>
    <t>Okta / Auth0</t>
  </si>
  <si>
    <t>6+ años + frontend/code + AI workflows</t>
  </si>
  <si>
    <t>57k–78k € + equity/bonus</t>
  </si>
  <si>
    <t>Rol muy técnico y muy product: developer tools, AI security, systems complejos y diseño directamente en código</t>
  </si>
  <si>
    <t>Empresa top-tier en identidad/autenticación; entorno muy maduro técnicamente y con muchísimo nivel</t>
  </si>
  <si>
    <t>De las ofertas más difíciles que has visto. No por UX “clásico”, sino porque el perfil que buscan es casi híbrido designer/frontend/product engineer. Tu encaje está bastante en la parte de systems thinking, claridad estructural, accesibilidad y trabajo con complejidad. Pero el gap fuerte es coding/prototyping real en React/Next.js y experiencia diseñando para developers (SDKs, APIs, auth flows). Aun así, si aplicas bien posicionada como alguien creciendo hacia ese espacio AI/product-tech, podría servir para entrar en radar. No creo que seas el target ideal hoy, pero sí alguien con base interesante para evolucionar ahí.</t>
  </si>
  <si>
    <t>Empresa líder en identidad digital y autenticación (Auth0, Okta), ahora muy enfocada en AI security</t>
  </si>
  <si>
    <t>Craft, velocidad, AI-native workflows, ownership, engineering collaboration, product quality</t>
  </si>
  <si>
    <t>Parcialmente alineado: fuerte UX estructural y systems; débil en frontend/devtools/coding workflow</t>
  </si>
  <si>
    <t>Entorno muy exigente técnicamente; probablemente cultura high-performance bastante intensa</t>
  </si>
  <si>
    <t>https://www.linkedin.com/jobs/collections/recommended/?currentJobId=4410299234&amp;discover=recommended&amp;discoveryOrigin=JOBS_HOME_JYMBII&amp;start=24</t>
  </si>
  <si>
    <t>Muy aspiracional y diferencial para CV, pero probablemente uno de los roles más fuera de fit actual</t>
  </si>
  <si>
    <t>Gran aprendizaje si avanzaras proceso, pero competirías contra perfiles muy technical product designers</t>
  </si>
  <si>
    <t>UX/UI Designer Senior &amp; Junior</t>
  </si>
  <si>
    <t>Arktic</t>
  </si>
  <si>
    <t>Presencial</t>
  </si>
  <si>
    <t>San Sebastián de los Reyes (Madrid)</t>
  </si>
  <si>
    <t>Junior y Senior (muy poco definido)</t>
  </si>
  <si>
    <t>No especificado (~25k–45k estimado)</t>
  </si>
  <si>
    <t>Oferta bastante genérica y poco madura en UX; parece más consultoría clásica con foco en cliente/stakeholders que producto</t>
  </si>
  <si>
    <t>Consultora española pequeña/mediana orientada a transformación digital y negocio</t>
  </si>
  <si>
    <t>Honestamente veo varias red flags. La descripción es muy superficial para un rol UX/UI senior: no hablan de research, producto, métricas, sistemas complejos, accesibilidad, workflows ni metodología concreta. “Visión estratégica” parece significar más gestión de cliente que pensamiento de producto real. Además, juntar senior y junior en la misma oferta suele indicar poca claridad sobre necesidades reales o madurez del área de diseño. El presencial en San Sebastián también puede ser desgaste innecesario para lo que ofrecen.</t>
  </si>
  <si>
    <t>A consultora española de negocio, tecnología y DX</t>
  </si>
  <si>
    <t>Consultoría, excelencia delivery, relaciones cliente, transformación digital</t>
  </si>
  <si>
    <t>Tu perfil encajaría técnicamente, pero probablemente podrías sentirte limitada o infrautilizada a nivel product/UX estratégico</t>
  </si>
  <si>
    <t>Oferta muy genérica; posible UX más visual/consultoría tradicional que producto digital maduro</t>
  </si>
  <si>
    <t>https://www.linkedin.com/jobs/search/?alertAction=viewjobs&amp;currentJobId=4409265336&amp;distance=25&amp;f_TPR=a1778139502-&amp;f_WT=1%2C3%2C2&amp;geoId=105646813&amp;keywords=Product%20Designer&amp;origin=JOB_ALERT_IN_APP_NOTIFICATION&amp;originToLandingJobPostings=4353796933%2C4410477445%2C4390006428%2C4409265336%2C4409606633%2C4410850370&amp;savedSearchId=5198310161&amp;sortBy=R</t>
  </si>
  <si>
    <t>Podría servir como transición o estabilidad, pero no parece especialmente alineada con tu crecimiento actual</t>
  </si>
  <si>
    <t>Baja-media</t>
  </si>
  <si>
    <t>No la veo mala necesariamente, pero sí poco diferenciada y algo “consultora 2018” en cómo plantea diseño</t>
  </si>
  <si>
    <t>Digital Designer (Figma)</t>
  </si>
  <si>
    <t>Studio Rx</t>
  </si>
  <si>
    <t>Senior Digital Designer / visual systems / campaigns</t>
  </si>
  <si>
    <t>Rol mucho más visual/digital craft que product UX; foco en campañas, sistemas visuales, toolkits y assets multi-formato</t>
  </si>
  <si>
    <t>Agencia/global creative organization con foco en healthcare y grandes marcas</t>
  </si>
  <si>
    <t>Honestamente creo que aquí tu parte visual y de systems puede encajar bastante mejor de lo que parece a primera vista. No es un rol de product strategy ni UX complejo, pero sí de craft, coherencia visual, component systems y colaboración cross-functional. Puede ser una buena opción si quieres un entorno más creativo y menos “startup hyper-product”. El riesgo es que termines haciendo mucho delivery visual/campañas y menos trabajo profundo de experiencia o research. También parece bastante orientado a volumen y deadlines rápidos.</t>
  </si>
  <si>
    <t>Organización creativa/digital global orientada a campañas, ecosistemas multi-market y healthcare</t>
  </si>
  <si>
    <t>Craft, escalabilidad visual, colaboración, calidad, sistemas, consistencia visual</t>
  </si>
  <si>
    <t>Tu perfil encaja bien en systems, accesibilidad, coherencia visual y trabajo con Figma/design systems</t>
  </si>
  <si>
    <t>Posible ritmo agencia alto + mucho asset production; menos ownership de producto</t>
  </si>
  <si>
    <t>https://www.linkedin.com/jobs/collections/recommended/?currentJobId=4411869748&amp;discover=recommended&amp;discoveryOrigin=JOBS_HOME_JYMBII</t>
  </si>
  <si>
    <t>Probablemente más estable y menos caótico que startups AI; menos estimulante a nivel producto estratégico</t>
  </si>
  <si>
    <t>Media</t>
  </si>
  <si>
    <t>Buena opción si quieres equilibrar craft visual + sistemas sin entrar en entornos ultra técnicos o hypergrowth</t>
  </si>
  <si>
    <t>Senior Product Designer (Mobile &amp; Web)</t>
  </si>
  <si>
    <t>eXperience IT Solutions</t>
  </si>
  <si>
    <t>Madrid / Internacional</t>
  </si>
  <si>
    <t>4+ años product design B2C</t>
  </si>
  <si>
    <t>No especificado (~40k–60k estimado)</t>
  </si>
  <si>
    <t>Rol bastante product-oriented para ser consultora: ownership, métricas, funnels, onboarding, research y collaboration con PM/engineering</t>
  </si>
  <si>
    <t>Consultora IT consolidada con proyectos enterprise e internacionales</t>
  </si>
  <si>
    <t>De las consultoras que has enseñado, esta probablemente es de las más alineadas con el tipo de perfil hacia el que quieres crecer. Hablan bastante de ownership real, métricas, discovery, experimentación y journeys complejos, no solo de “hacer pantallas”. También encajas bien por accesibilidad, systems, trabajo cross-functional y plataformas complejas. El riesgo es el típico de consultora: depende muchísimo del cliente/proyecto real y de cuánto poder tenga realmente diseño dentro del equipo. Pero sobre papel, está bastante mejor planteada que muchas otras.</t>
  </si>
  <si>
    <t>Consultora tecnológica española con foco en transformación digital, IA y grandes clientes</t>
  </si>
  <si>
    <t>Ownership, métricas, autonomía, colaboración, impacto negocio, transformación digital</t>
  </si>
  <si>
    <t>Bastante alineado contigo: UX estructural, systems, accessibility, research y workflows complejos</t>
  </si>
  <si>
    <t>Puede terminar siendo más corporate/consultoría de lo que promete; calidad real depende del cliente asignado</t>
  </si>
  <si>
    <t>https://www.linkedin.com/jobs/collections/recommended/?currentJobId=4380933515&amp;discover=recommended&amp;discoveryOrigin=JOBS_HOME_JYMBII</t>
  </si>
  <si>
    <t>Muy buena opción “equilibrada”: más madura que startups caóticas y más product que consultoras clásicas</t>
  </si>
  <si>
    <t>Alta-media</t>
  </si>
  <si>
    <t>Probablemente una de las opciones más coherentes entre estabilidad, crecimiento y fit real con tu experiencia actual</t>
  </si>
  <si>
    <t>Design Product Specialist Associate</t>
  </si>
  <si>
    <t>Getnet</t>
  </si>
  <si>
    <t>Híbrido (60% oficina)</t>
  </si>
  <si>
    <t>Product Design / UX/UI / Design Systems / AI workflows</t>
  </si>
  <si>
    <t>No especificado (~45k–65k estimado + beneficios)</t>
  </si>
  <si>
    <t>Rol bastante maduro y transversal: discovery, métricas, prototipado, design systems, IA aplicada y colaboración con producto/tech</t>
  </si>
  <si>
    <t>Fintech grande respaldada por Santander, con estructura de diseño aparentemente bastante madura</t>
  </si>
  <si>
    <t>Honestamente, esta me parece una de las ofertas más sólidas y mejor estructuradas que has enseñado últimamente. Se nota que hay una organización de diseño real y especializada (Design Ops, Analytics, Content, Systems, Strategic Design), lo cual suele indicar madurez y menos caos improvisado. Además, el enfoque en AI aplicada parece bastante más práctico y aterrizado que en muchas startups que simplemente mencionan IA por tendencia. Tu perfil encaja bastante bien: systems thinking, accesibilidad, workflows complejos, documentación, trabajo cross-functional y sensibilidad visual consistente. El único punto es que probablemente sea un entorno bastante corporate/process-heavy al estar ligado a Santander.</t>
  </si>
  <si>
    <t>Getnet es la fintech/payments de Santander, con fuerte presencia en Latam y Europa, enfocada en pagos digitales y AI commerce</t>
  </si>
  <si>
    <t>Innovación aplicada, sistemas, impacto medible, colaboración, escalabilidad, AI workflows</t>
  </si>
  <si>
    <t>Muy alineado contigo a nivel UX estructural, systems, accesibilidad y pensamiento producto</t>
  </si>
  <si>
    <t>Posible burocracia/corporate culture + bastante presencial para lo que suele ofrecer producto ahora</t>
  </si>
  <si>
    <t>https://job-boards.eu.greenhouse.io/getnet/jobs/4860752101?gh_src=9bojokj2teu</t>
  </si>
  <si>
    <t>Muy buena combinación entre estabilidad, madurez de diseño y evolución profesional
The Design area at Getnet is strategic and multidisciplinary.
Our team is composed of:
Product Design: responsible for digital journeys and user experiences
Strategic Design: focused on discovery, vision, and product direction
Content Design: ensuring clarity, consistency, and conversational experience
Design Analytics: connecting experience decisions with data and metrics
Design System: responsible for visual consistency, scalability, and governance
Design Ops: structuring processes, tools, and operational efficiency
We work closely and in an integrated way with Product, Technology, and Business, operating with a high level of maturity and a strong focus on measurable impact.</t>
  </si>
  <si>
    <r>
      <rPr>
        <rFont val="Arial"/>
        <b/>
        <color rgb="FFFF0000"/>
      </rPr>
      <t xml:space="preserve">Ángela G.
Jose Luis Martin-Oar Ripoll. </t>
    </r>
    <r>
      <rPr>
        <rFont val="Arial"/>
        <color theme="1"/>
      </rPr>
      <t>Head of Product Experience &amp; Operations (PXO) | Scaling Product Value &amp; Adoption | Fintech
UX/UI Zainab
Hi Jose,
I recently applied for the Product Designer role at Getnet and wanted to reach out because I really liked what I read about the design team and the product environment.
My background is a mix of UX/UI and product design. I worked in SaaS at Plytix, in edtech platforms at Oxford University Press, and previously as a product designer for Zara Home and an ecological stationery company. Most of my recent work has been around complex workflows, accessibility, systems, and scalable digital products.
I don’t come from fintech, but I’ve wanted to move into a more tech-focused environment for a while. I was actually very comfortable at Oxford, but I decided to leave, take a short break, and focus seriously on finding the kind of environment where I want to keep growing long term.
I’m very curious by nature and I genuinely enjoy learning new domains and getting out of my comfort zone. I’m realistic about what I know and what I still need to learn, but I’m not afraid of unfamiliar environments — I learn fast by doing. 
Just wanted to introduce myself and say the role and the team genuinely caught my attention. Also, here is my portfolio if you're interested!
https://abadisedraoui.wixstudio.com/portfolio
Thanks,
Zainab</t>
    </r>
  </si>
  <si>
    <t>De las opciones más equilibradas y maduras: menos “humo AI”, más estructura real y posibilidad de aprender producto a escala</t>
  </si>
  <si>
    <t>Product Designer UX/UI</t>
  </si>
  <si>
    <r>
      <rPr>
        <rFont val="Arial"/>
        <color rgb="FF1155CC"/>
        <u/>
      </rPr>
      <t xml:space="preserve">Redbility
</t>
    </r>
    <r>
      <rPr>
        <rFont val="Arial"/>
        <color rgb="FF1F1F1F"/>
      </rPr>
      <t>JUNGLE</t>
    </r>
  </si>
  <si>
    <t>No especificado
He dicho 38 - 45 k</t>
  </si>
  <si>
    <t>Consultoría UX/producto con foco en research, arquitectura de información y systems</t>
  </si>
  <si>
    <t>Empresa bastante madura en UX dentro de España, buena reputación en consultoría y diseño digital</t>
  </si>
  <si>
    <t>Muy alineado contigo en research, sistemas, IA, arquitectura de información y UX estratégico. También encaja tu mezcla entre estructura + sensibilidad visual. Remote-first real y cultura aparentemente bastante humana. Mucho foco en presentar ideas, workshops y consultoría UX</t>
  </si>
  <si>
    <t>Puede tener dinámica bastante consultora/agencia (varios clientes, timings, feedback constante). Posible ritmo alto y necesidad de “vender” diseño continuamente. Menos ownership de producto a largo plazo que un SaaS puro</t>
  </si>
  <si>
    <t>Consultora UX/UI dentro del ecosistema Jungle</t>
  </si>
  <si>
    <t>Innovación responsable, colaboración, research, excelencia visual, crecimiento</t>
  </si>
  <si>
    <t>Perfil híbrido UX/UI con research, systems thinking y capacidad de interlocución</t>
  </si>
  <si>
    <t>Trabajan con grandes marcas tipo Inditex, Telefónica o Acciona</t>
  </si>
  <si>
    <t>https://redbility.com/
https://wejungle.factorial.es/job_posting/product-designer-ux-ui-290406?utm_source=linkedin.com
https://www.linkedin.com/jobs/collections/recommended/?currentJobId=4399368181&amp;discover=recommended&amp;discoveryOrigin=JOBS_HOME_JYMBII</t>
  </si>
  <si>
    <t>Bastante coherente contigo si quieres seguir creciendo en UX estratégico y producto sin irte a una empresa ultra-corporativa</t>
  </si>
  <si>
    <t>Fit medio-alto: muy alineado en metodología y perfil, menos claro si buscas ownership profundo de producto a largo plazo</t>
  </si>
  <si>
    <r>
      <rPr>
        <color rgb="FF1155CC"/>
        <u/>
      </rPr>
      <t>FitXR</t>
    </r>
  </si>
  <si>
    <t>España / UK / US</t>
  </si>
  <si>
    <t>Producto VR fitness con foco en AI workflows, research rápido y prototipado</t>
  </si>
  <si>
    <t>Startup/product company moderna y experimental, muy centrada en AI, velocidad y producto consumer</t>
  </si>
  <si>
    <t>Muy alineado contigo por la mezcla entre sensibilidad visual, conceptual y curiosidad tecnológica. Encaja también tu interés por IA, experimentation y producto digital innovador. Remote real y cultura aparentemente flexible</t>
  </si>
  <si>
    <t>Entorno probablemente muy rápido e intenso, mucha autonomía y poca estructura. Muy orientado a consumer/growth/velocity y esperan gente bastante AI-native y cercana al blur diseño/código. Puede ser demasiado startup experimental dependiendo de energía y momento vital</t>
  </si>
  <si>
    <t>Empresa de fitness VR/MR para Meta Quest</t>
  </si>
  <si>
    <t>Experimentación, learner mindset, velocidad, colaboración async, innovación</t>
  </si>
  <si>
    <t>Perfil product designer autónomo, AI-native y fuerte en craft + prototyping</t>
  </si>
  <si>
    <t>Mucho foco en AI-assisted workflows, rapid validation y shipping</t>
  </si>
  <si>
    <r>
      <rPr>
        <color rgb="FF434343"/>
        <u/>
      </rPr>
      <t>https://fitxr-1642768457.teamtailor.com/jobs/7718230-senior-product-designer?utm_source=LinkedIn</t>
    </r>
    <r>
      <rPr>
        <color rgb="FF1F1F1F"/>
      </rPr>
      <t xml:space="preserve"> </t>
    </r>
  </si>
  <si>
    <t>Probablemente una de las ofertas más estimulantes creativamente para ti, aunque también de las más exigentes energéticamente</t>
  </si>
  <si>
    <t>Fit medio-alto: muy alineado en curiosidad, craft y visión de producto; menos claro en ritmo/intensidad y seniority AI-native extrema</t>
  </si>
  <si>
    <t>IRiS Grupo Tecnológico (Velorum)</t>
  </si>
  <si>
    <t>SaaS B2B/enterprise con foco en visualización de datos complejos, sistemas y UX técnico</t>
  </si>
  <si>
    <t>Empresa tech bastante orientada a IA, data y arquitectura empresarial</t>
  </si>
  <si>
    <t>MUY alineado con tu perfil en systems thinking, complejidad, workflows y diseño estructural. Tu experiencia organizando información compleja, documentación, design systems y accesibilidad encaja bastante bien aquí. También conecta con tu curiosidad conceptual y tu forma de pensar visualmente los sistemas. Red flags: probablemente producto muy técnico/abstracto, con mucha complejidad enterprise y menos componente emocional/consumer. Puede requerir bastante autonomía y tolerancia a ambigüedad técnica.</t>
  </si>
  <si>
    <t>Empresa tecnológica centrada en cloud, IA, ciberseguridad y data</t>
  </si>
  <si>
    <t>Excelencia técnica, pensamiento sistémico, iteración, autonomía, innovación</t>
  </si>
  <si>
    <t>Perfil UX/UI orientado a SaaS complejo, systems thinking y visualización de información</t>
  </si>
  <si>
    <t>Figma avanzado, Dev Mode, dashboards, grafos, árboles de dependencias</t>
  </si>
  <si>
    <t xml:space="preserve">Muy interesante intelectualmente para ti; probablemente una de las ofertas más alineadas con tu manera estructural de pensar UX
</t>
  </si>
  <si>
    <r>
      <rPr>
        <strike/>
        <color rgb="FF1155CC"/>
      </rPr>
      <t>https://www.linkedin.com/jobs/view/4412780696/</t>
    </r>
    <r>
      <rPr>
        <strike/>
      </rPr>
      <t xml:space="preserve">
</t>
    </r>
  </si>
  <si>
    <t>Fit alto: muy buen encaje en complejidad, systems thinking y producto técnico enterprise</t>
  </si>
  <si>
    <t>WeTransfer
BendingSpoons</t>
  </si>
  <si>
    <t>Hybrid / Remote</t>
  </si>
  <si>
    <t>Madrid / Remote Europe</t>
  </si>
  <si>
    <t>€107k–€188k aprox para perfiles senior según oferta</t>
  </si>
  <si>
    <t>Producto digital consumer con foco en colaboración, creatividad, AI workflows y velocidad de ejecución</t>
  </si>
  <si>
    <t>Empresa extremadamente ambiciosa y performance-driven, muy centrada en excelencia, AI-native workflows y alto rendimiento</t>
  </si>
  <si>
    <t>Muy interesante contigo por la mezcla entre craft visual, conceptual thinking, producto digital y curiosidad tecnológica. También encaja bastante tu parte de systems thinking, autonomía, research y sensibilidad UX. El componente AI-native y experimentation conecta bastante con tu perfil actual y tu curiosidad por workflows híbridos diseño/IA.</t>
  </si>
  <si>
    <t>Red flags bastante fuertes: cultura MUY intensa y exigente, probablemente muy orientada a performance y productividad extrema. Mucha presión, entrevistas difíciles y estándar muy alto constante. Puede sentirse poco humana o demasiado competitiva dependiendo del equipo. También esperan bastante comodidad con código, prototipado técnico y métricas de negocio.</t>
  </si>
  <si>
    <t>Producto digital / ecosystem company</t>
  </si>
  <si>
    <t>Excelencia, ambición extrema, ownership, velocidad, AI-first mindset</t>
  </si>
  <si>
    <t>Perfil product/UX/UI muy autónomo, estratégico y cómodo trabajando entre diseño, IA y frontend</t>
  </si>
  <si>
    <t>Cursor, Claude Code, AI-assisted prototyping, métricas, funnels, testing rápido, frontend prototyping</t>
  </si>
  <si>
    <t>https://wetransfer.com/ / https://bendingspoons.com/</t>
  </si>
  <si>
    <t>Una de las ofertas más potentes y mejor pagadas que has visto; muy estimulante intelectualmente pero probablemente también de las más demandantes energéticamente</t>
  </si>
  <si>
    <t>Fit medio-alto: muy alineado en craft, systems thinking y curiosidad tecnológica; dudas en cultura de intensidad extrema y expectativa AI/code-native</t>
  </si>
  <si>
    <t>UI/UX Designer ENG - Interfell</t>
  </si>
  <si>
    <t>Core Code io</t>
  </si>
  <si>
    <t>Madrid / Remote</t>
  </si>
  <si>
    <t>Probablemente 28k–40k aprox</t>
  </si>
  <si>
    <t>Rol UI/UX bastante generalista centrado en diseño de producto digital, user journeys, prototipos y design systems</t>
  </si>
  <si>
    <t>Empresa/remoto internacional con enfoque bastante operativo y colaborativo</t>
  </si>
  <si>
    <t>Encaja contigo en la parte de design systems, handoff, cross-functional collaboration y organización de flujos complejos. También coincide con tu experiencia trabajando entre UX/UI, documentación y colaboración con desarrollo. Parece un entorno donde podrías entrar relativamente bien por stack y experiencia práctica. Red flags: la oferta se siente bastante genérica y posiblemente más execution-focused que estratégica. Puede ser rol más de producción/delivery que de ownership real de producto. No parece especialmente madura en UX ni muy diferenciada a nivel diseño. También podría tener salarios más bajos por estructura remote internacional.</t>
  </si>
  <si>
    <t>Consultoría / recruitment tech / producto digital</t>
  </si>
  <si>
    <t>Autonomía, organización, colaboración, user-centered design</t>
  </si>
  <si>
    <t>Perfil UI/UX generalista con capacidad de trabajar end-to-end y colaborar con devs</t>
  </si>
  <si>
    <t>Figma, prototipado, design systems, handoff, task management</t>
  </si>
  <si>
    <t>https://simeras-spectacular-site.webflow.io/get-hire-with-simera?jobId=ZsQ97LWzvLsK&amp;ft_source=5000286763&amp;ft_medium=5000232052</t>
  </si>
  <si>
    <t>Más una oferta estable/funcional que especialmente estimulante conceptualmente; probablemente cómoda para entrar pero menos alineada con tu parte más estratégica y experimental</t>
  </si>
  <si>
    <t>Fit medio</t>
  </si>
  <si>
    <t>Buen encaje operativo y técnico, menos fuerte en producto estratégico o complejidad</t>
  </si>
  <si>
    <t>Senior Product Designer (AIR)</t>
  </si>
  <si>
    <t>JetBrains</t>
  </si>
  <si>
    <t>Probablemente 55k–85k+ aprox</t>
  </si>
  <si>
    <t>Rol de producto muy centrado en AI-native workflows, herramientas para developers y diseño de interfaces técnicas complejas</t>
  </si>
  <si>
    <t>Empresa extremadamente sólida y respetada dentro del ecosistema developer/software, muy orientada a craft, tooling y calidad técnica</t>
  </si>
  <si>
    <t>MUY alineado contigo en systems thinking, complejidad, documentación, diseño estructural y curiosidad conceptual. Tu forma de pensar interfaces complejas y organizar información encaja muchísimo aquí. También conecta bastante con tu interés creciente por IA, workflows híbridos y tooling. La parte de reducir carga cognitiva en sistemas complejos está muy alineada con cómo entiendes UX. Red flags: entorno probablemente bastante técnico y abstracto, muy orientado a developers y con expectativa alta de entender lógica de programación. Puede requerir mucha autonomía y tolerancia a complejidad técnica continua.</t>
  </si>
  <si>
    <t>Empresa de herramientas para desarrolladores e IDEs</t>
  </si>
  <si>
    <t>Calidad técnica, craft, precisión, autonomía, innovación</t>
  </si>
  <si>
    <t>Perfil senior de producto capaz de trabajar en interfaces técnicas complejas y AI workflows</t>
  </si>
  <si>
    <t>AI agents, developer tools, desktop/web apps, design systems, research, analytics</t>
  </si>
  <si>
    <t>https://www.linkedin.com/jobs/view/4390006428/</t>
  </si>
  <si>
    <t>Probablemente una de las ofertas intelectualmente más alineadas contigo de todas las que has visto; mezcla complejidad, estructura, craft y visión de futuro AI</t>
  </si>
  <si>
    <t>Fit muy alto: encaje muy fuerte en systems thinking, complejidad UX y curiosidad técnica; principal duda sería el nivel de profundidad técnica/programación esperado</t>
  </si>
  <si>
    <t>PrimeIT España</t>
  </si>
  <si>
    <t>2-3+ años</t>
  </si>
  <si>
    <t>Probablemente 30k–42k aprox</t>
  </si>
  <si>
    <t>Rol UX/UI bastante generalista dentro de entornos digitales, con foco en producto, design systems y colaboración agile</t>
  </si>
  <si>
    <t>Consultora tecnológica grande y bastante orientada a crecimiento, staffing y transformación digital</t>
  </si>
  <si>
    <t>Encaja bastante contigo a nivel stack y experiencia práctica: design systems, accesibilidad, SaaS, colaboración con desarrollo, producto digital y workflows complejos. También parece valorar perfiles relativamente híbridos UX/UI con autonomía y capacidad de adaptarse a distintos proyectos. Red flags: vibes bastante consultora clásica/body leasing. La oferta es muy genérica y poco concreta sobre producto, equipo o nivel de madurez UX real. Puede depender muchísimo del cliente final que te toque. Riesgo de acabar en proyectos poco estimulantes o con poco ownership.</t>
  </si>
  <si>
    <t>Consultoría IT / transformación digital</t>
  </si>
  <si>
    <t>Formación, crecimiento, internacionalización, acompañamiento, agilidad</t>
  </si>
  <si>
    <t>Perfil UX/UI/Product generalista con experiencia en diseño digital y trabajo cross-functional</t>
  </si>
  <si>
    <t>Design systems, usabilidad, agile, accesibilidad, mobile/web, research</t>
  </si>
  <si>
    <t>https://www.linkedin.com/jobs/collections/recommended/?currentJobId=4413956782</t>
  </si>
  <si>
    <t>Puede ser una opción relativamente estable y flexible para entrar en proyectos distintos, aunque no parece especialmente diferencial ni fuerte en cultura de producto</t>
  </si>
  <si>
    <t>Fit medio: buen encaje operativo y técnico; dudas en madurez UX, ownership y calidad real de proyectos</t>
  </si>
  <si>
    <t>UX Designer - Design Systems</t>
  </si>
  <si>
    <t>Canonical</t>
  </si>
  <si>
    <t>Senior/Mid-Senior</t>
  </si>
  <si>
    <t>Muy centrado en design systems, governance, accesibilidad y escalabilidad</t>
  </si>
  <si>
    <t>Empresa tech sólida/open source, cultura muy técnica y exigente</t>
  </si>
  <si>
    <t>Fit alto por systems + accesibilidad + documentación + trabajo cross-funcional</t>
  </si>
  <si>
    <t>Ubuntu, open source, cloud, AI, IoT</t>
  </si>
  <si>
    <t>Excelencia técnica, autonomía, transparencia, colaboración distribuida</t>
  </si>
  <si>
    <t>Perfil systems-heavy, Figma + tokens + documentación + colaboración con engineering</t>
  </si>
  <si>
    <t>Muy orientado a procesos y coherencia sistémica, menos producto “feature driven”</t>
  </si>
  <si>
    <t>https://canonical.com/careers</t>
  </si>
  <si>
    <t>Buena oportunidad para reforzar perfil design systems a nivel senior</t>
  </si>
  <si>
    <t>Rol muy alineado con tu experiencia en sistemas y accesibilidad</t>
  </si>
  <si>
    <t>Director, Product Design</t>
  </si>
  <si>
    <t>Smartsheet</t>
  </si>
  <si>
    <t>USA</t>
  </si>
  <si>
    <t>Director</t>
  </si>
  <si>
    <t>235k-275k USD</t>
  </si>
  <si>
    <t>Rol muy estratégico y de liderazgo, fuerte foco en gestión y visión UX</t>
  </si>
  <si>
    <t>Empresa SaaS consolidada, madura en producto y procesos</t>
  </si>
  <si>
    <t>Fit parcial: alineado en systems/B2B pero muy senior en management</t>
  </si>
  <si>
    <t>Work management SaaS, automatización, enterprise tooling</t>
  </si>
  <si>
    <t>Human-centered, escalabilidad, colaboración, liderazgo</t>
  </si>
  <si>
    <t>Manager de managers, estrategia UX, enterprise SaaS</t>
  </si>
  <si>
    <t>Piden 12+ años y liderazgo de equipos grandes (+10)</t>
  </si>
  <si>
    <t>https://job-boards.greenhouse.io/smartsheet/jobs/7630792</t>
  </si>
  <si>
    <t>Muy por encima de seniority actual para aplicar con expectativas reales</t>
  </si>
  <si>
    <t>Interesante como referencia de mercado y posicionamiento futuro</t>
  </si>
  <si>
    <t>The Agile Monkeys</t>
  </si>
  <si>
    <t>España / Las Palmas / Madrid</t>
  </si>
  <si>
    <t>Mid-Senior</t>
  </si>
  <si>
    <t>Contract</t>
  </si>
  <si>
    <t>Software boutique + startup studio centrado en IA y search tools</t>
  </si>
  <si>
    <t>Muy alineado con AI tooling, producto complejo y colaboración cercana con devs. Bastante foco en ownership y autonomía. Trabajo en inglés con cliente US. Desktop app + design systems + flujos complejos encajan mucho contigo.
Green flags: parecen bastante orientados a autonomía real, cultura flexible y confianza. Que hablen de alta retención suele ser buena señal. Interesante que mencionen design systems, accesibilidad y desktop UX explícitamente porque indica cierta madurez. El hecho de trabajar directamente con cliente US puede darte exposición a procesos/producto más internacionales. También valoran herramientas AI-assisted modernas (Cursor, v0, Figma Make), que puede posicionarte bien a futuro.
Red flags: sigue teniendo bastante estructura de consultoría, aunque pequeña/boutique. Eso puede implicar cambios rápidos, necesidad de gestionar expectativas del cliente constantemente y bastante comunicación síncrona. “Outcome over hours” a veces significa límites menos claros y riesgo de acabar trabajando más de la cuenta. Al ser contract puede haber menos estabilidad y beneficios que un in-house tradicional. Posible presión por velocidad debido al contexto AI/startup. Si el cliente US es muy dominante, puede haber horarios algo incómodos o feedback rápido/constante.</t>
  </si>
  <si>
    <t>Puede tener ritmo consultora bastante intenso y cambios rápidos. “Outcome over hours” a veces implica difuminar límites. Al ser contract quizá menos estabilidad. Cliente US = posibles horarios algo desplazados.</t>
  </si>
  <si>
    <t>Curiosidad, autonomía, excelencia técnica, aprendizaje continuo, flexibilidad</t>
  </si>
  <si>
    <t>Bastante buen fit. Encaja especialmente tu mezcla de UX estructural, sistemas, accesibilidad, documentación y capacidad de hablar con devs. También tu experiencia adaptándote a dominios complejos.</t>
  </si>
  <si>
    <t>Interesante porque mezcla consultoría + AI + producto real. Además usan herramientas AI-assisted tipo Cursor/v0/Figma Make, que ahora mismo es bastante valioso de cara a futuro.</t>
  </si>
  <si>
    <t>https://jobs.ashbyhq.com/theam/8ab3b02b-101c-43e7-a5d0-a07fdba62510?utm_source=KQny0YMw1V</t>
  </si>
  <si>
    <t>Principal Product Designer</t>
  </si>
  <si>
    <t>Lodgify</t>
  </si>
  <si>
    <t>Remote/Barcelona</t>
  </si>
  <si>
    <t>Principal</t>
  </si>
  <si>
    <t>SaaS maduro con foco fuerte en customer experience, strategy y systems</t>
  </si>
  <si>
    <t>Scale-up consolidada y bastante product/design driven</t>
  </si>
  <si>
    <t>Fit parcial-alto: muy alineado en systems/research/accessibility pero seniority quizá algo elevada</t>
  </si>
  <si>
    <t>Vacation rental SaaS, gestión de propiedades y bookings</t>
  </si>
  <si>
    <t>Customer-centric, colaboración, design thinking, diversidad, ownership</t>
  </si>
  <si>
    <t>Mucho foco en estrategia UX, journeys end-to-end y colaboración cross-functional</t>
  </si>
  <si>
    <t>Piden perfil muy estratégico/influyente y probablemente bastante ownership organizacional</t>
  </si>
  <si>
    <t>https://jobs.lever.co/lodgify/4bfe8973-38f5-44b3-b1cc-801a0770c0bc</t>
  </si>
  <si>
    <t>Empresa bastante interesante para ti si quieres producto SaaS maduro y entorno internacional</t>
  </si>
  <si>
    <t>Buena mezcla entre systems thinking, producto y cultura de diseño relativamente madura</t>
  </si>
  <si>
    <t>(Senior) Product Designer (UX) – B2B SaaS</t>
  </si>
  <si>
    <t>SocialHub</t>
  </si>
  <si>
    <t>Germany</t>
  </si>
  <si>
    <t>B2B SaaS con foco fuerte en ownership, claridad y decisiones bajo incertidumbre</t>
  </si>
  <si>
    <t>Scale-up SaaS/product-driven bastante madura en mentalidad</t>
  </si>
  <si>
    <t>Fit alto por systems thinking, colaboración con engineering y productos complejos
Green flags
Remote-first real
Mucho foco en ownership y producto
Hablan de claridad y reducción de complejidad, no de “hacer pantallas”
Trabajo muy cercano con engineering
Cultura bastante product-oriented
B2B SaaS → buen crecimiento profesional
4-day week mensual y learning budget
Valoran decisiones y pensamiento sistémico más que workshops vacíos
Parece haber bastante autonomía real
Red flags
Cultura probablemente intensa y muy exigente mentalmente
“Decision maturity under uncertainty” → esperan mucha autonomía
Pueden ser bastante directos/blunt culturalmente
Poco acompañamiento si entras perdida
Riesgo de entorno muy performance-driven
“Avoid conflict or tension” como warning = probablemente discusiones/product debates frecuentes
Puede penalizar mucho la inseguridad al comunicar ideas</t>
  </si>
  <si>
    <t>Social media management SaaS</t>
  </si>
  <si>
    <t>Ownership, autonomía, impacto, claridad, iteración</t>
  </si>
  <si>
    <t>Perfil product/systems-oriented con bastante autonomía y pensamiento estratégico</t>
  </si>
  <si>
    <t>Cultura probablemente bastante exigente/directa y orientada a performance</t>
  </si>
  <si>
    <t>https://socialhub.io/</t>
  </si>
  <si>
    <t>Muy interesante para crecer hacia perfil más product-oriented y estratégico</t>
  </si>
  <si>
    <t>La oferta encaja bastante con cómo trabajas cuando consigues estructurar bien tus ideas</t>
  </si>
  <si>
    <t>Movistar Prosegur Alarmas</t>
  </si>
  <si>
    <t>40k-55k €</t>
  </si>
  <si>
    <t>Producto digital + componente físico con foco en UX, systems y research</t>
  </si>
  <si>
    <t>Empresa grande y estable dentro de telecom/security tech</t>
  </si>
  <si>
    <t>Fit alto por systems, accesibilidad, research y background híbrido
Green flags
Bastante alineada con tu experiencia real
Híbrido Madrid
Empresa estable
Producto físico + digital interesante
Hablan de research y design systems de forma concreta
Buen fit entre UX/UI y systems
Posible estabilidad económica mejor que startups
Red flags
Puede haber bastante corporativismo/proceso
Sector alarmas/telecom → stakeholders complejos
Probable burocracia y tiempos lentos
Parte de documentación/manuales quizá menos estimulante creativamente
Posible ritmo enterprise con muchas validaciones</t>
  </si>
  <si>
    <t>App/web de alarmas, hardware y experiencia cliente</t>
  </si>
  <si>
    <t>Colaboración, autonomía, diseño centrado en usuario, innovación</t>
  </si>
  <si>
    <t>UX/UI product-oriented con design systems, research y trabajo cross-functional</t>
  </si>
  <si>
    <t>Puede haber burocracia enterprise y muchos stakeholders</t>
  </si>
  <si>
    <t>https://www.movistarproseguralarmas.es/</t>
  </si>
  <si>
    <t>Muy viable y bastante alineada con tu experiencia real</t>
  </si>
  <si>
    <r>
      <rPr>
        <rFont val="Arial"/>
        <b/>
        <color rgb="FFFF0000"/>
      </rPr>
      <t>Henar Gómez Cárdenas</t>
    </r>
    <r>
      <rPr>
        <rFont val="Arial"/>
      </rPr>
      <t xml:space="preserve">. Gerente Selección at Movistar Prosegur Alarmas | Máster en Dirección de RRHHHola Henar,
He visto la oferta de Product Designer y me ha interesado. Estudié diseño de producto y me especialicé en digital, así que me interesa especialmente la mezcla entre UX/UI, experiencia física y colaboración con hardware. 
Mi portfolio: </t>
    </r>
    <r>
      <rPr>
        <rFont val="Arial"/>
        <color rgb="FF1155CC"/>
        <u/>
      </rPr>
      <t>https://abadisedraoui.wixstudio.com/portfolio</t>
    </r>
  </si>
  <si>
    <t>El componente físico/digital puede diferenciarte bastante frente a otros perfiles UX/UI</t>
  </si>
  <si>
    <t>Stravito</t>
  </si>
  <si>
    <t>Spain/Europe</t>
  </si>
  <si>
    <t>B2B SaaS orientado a knowledge discovery, research y AI workflows</t>
  </si>
  <si>
    <t>Scale-up SaaS bastante madura y muy product/design driven</t>
  </si>
  <si>
    <t>Fit muy alto contigo por systems thinking, research, accesibilidad y productos complejos</t>
  </si>
  <si>
    <t>Knowledge management SaaS para grandes organizaciones</t>
  </si>
  <si>
    <t>Autonomía, colaboración, ownership, claridad, producto centrado en usuario</t>
  </si>
  <si>
    <t>Perfil product designer con fuerte colaboración cross-functional y foco en UX complejo</t>
  </si>
  <si>
    <t>Probable cultura bastante autónoma y exigente en comunicación/asíncrono</t>
  </si>
  <si>
    <t>https://careers.stravito.com/jobs/7342996-product-designer</t>
  </si>
  <si>
    <t>Muy alineada contigo tanto en producto como en forma de trabajar</t>
  </si>
  <si>
    <t>Probablemente una de las ofertas más coherentes contigo de las últimas</t>
  </si>
  <si>
    <t>Product Designer - Integration</t>
  </si>
  <si>
    <t>Typeform</t>
  </si>
  <si>
    <t>Rol muy orientado a workflows complejos, integraciones y automatización dentro de SaaS</t>
  </si>
  <si>
    <t>Empresa SaaS muy madura en producto, UX y diseño</t>
  </si>
  <si>
    <t>Fit muy alto contigo por systems thinking, SaaS, accesibilidad y flujos complejos</t>
  </si>
  <si>
    <t>Forms/surveys SaaS con ecosistema integrations &amp; AI</t>
  </si>
  <si>
    <t>Human-centered, claridad, colaboración, excelencia de producto</t>
  </si>
  <si>
    <t>Perfil product designer fuerte en workflows, systems y colaboración cross-functional</t>
  </si>
  <si>
    <t>Cultura probablemente exigente y muy product/design driven</t>
  </si>
  <si>
    <t>https://www.typeform.com/</t>
  </si>
  <si>
    <t>Muy alineada contigo tanto por producto como por cultura de diseño</t>
  </si>
  <si>
    <t>Probablemente una de las empresas con mejor madurez UX/producto de las que has visto últimamente</t>
  </si>
  <si>
    <t>Honest Greens</t>
  </si>
  <si>
    <t>B2C + herramientas internas / apps / sistemas / workflows complejos</t>
  </si>
  <si>
    <t>40-48k aprox</t>
  </si>
  <si>
    <t>Producto bastante alineado contigo, mezcla UX/UI + sistemas + operaciones + impacto real. Puede darte experiencia más “product company”</t>
  </si>
  <si>
    <t>Appetecible a nivel marca, crecimiento y producto físico-digital. Riesgo de ritmo intenso y cultura startup/hospitality</t>
  </si>
  <si>
    <t>Buena compatibilidad con tu perfil por workflows complejos, design systems, accesibilidad y colaboración transversal
Green flags
Producto digital real + herramientas internas complejas → bastante alineado con lo que ya haces
Mezcla B2C + operaciones/logística → muy buen crecimiento para perfil Product
Mucho ownership y colaboración transversal
Design systems y workflows operacionales sí parecen importantes de verdad
Ver impacto directo del producto en restaurantes reales y usuarios diarios
Marca bastante fuerte y reconocible
Equipo internacional y producto en expansión
Puede ayudarte a salir un poco de la etiqueta “edtech”
Red flags
Barcelona → para ti es claramente un punto negativo ahora mismo
Solo 30% remoto → probablemente esperan bastante presencialidad
Hospitality/startup scaling suele implicar ritmos intensos y bastante caos operativo
“Move fast”, “ambiguity”, “fast-paced” repetido muchas veces = posible sobrecarga
Puede haber mucho fuego diario y decisiones rápidas más que profundidad UX
Producto físico-operacional → muchas dependencias y stakeholders distintos
“Lifestyle brand” a veces significa mucha importancia al branding/marketing interno y menos madurez de producto
No mencionan research/design maturity muy profunda ni equipo de diseño estructurado
Salario probablemente no compense demasiado una mudanza a Barcelona salvo que negocies bien o fuese muy híbrido/remoto</t>
  </si>
  <si>
    <t>Cadena/restaurante lifestyle centrada en comida saludable con ecosistema digital propio (“HonestOS”)</t>
  </si>
  <si>
    <t>Producto, rapidez, experiencia usuario, tecnología, escalabilidad, lifestyle</t>
  </si>
  <si>
    <t>Tu experiencia en plataformas complejas, sistemas y diseño end-to-end encaja bastante aunque no vengas de hospitality</t>
  </si>
  <si>
    <t>Muy interesante para reforzar perfil product/B2C real + operaciones</t>
  </si>
  <si>
    <t>https://jobs.orbio.work/sites/honest-greens-hq/product-designer/658b47c5-2a0f-4ebc-a4f9-c9f5938306a8</t>
  </si>
  <si>
    <t>Aplicada por web propia. Mentionan IA, design systems y herramientas internas</t>
  </si>
  <si>
    <t>Rol de Product Designer enfocado tanto en app cliente como herramientas internas operacionales. Mucho trabajo cross-funcional, UX/UI, research y sistemas. Entorno rápido y bastante alineado con producto digital real.</t>
  </si>
  <si>
    <t>Europa</t>
  </si>
  <si>
    <t>Producto digital B2C / SaaS / research / analytics / design systems / end-to-end</t>
  </si>
  <si>
    <t>54k aprox</t>
  </si>
  <si>
    <t>Mucho más alineado con perfil product digital “real”, ownership y madurez de producto</t>
  </si>
  <si>
    <t>Empresa bastante consolidada dentro del ecosistema tech/web hosting, con cultura fuerte de growth y producto</t>
  </si>
  <si>
    <t>Muy buena compatibilidad contigo por UX estratégica, workflows complejos, accesibilidad, systems thinking y documentación</t>
  </si>
  <si>
    <t>Plataforma global de hosting y herramientas online con +4M usuarios y foco fuerte en IA y crecimiento</t>
  </si>
  <si>
    <t>Customer obsession, ownership, autonomía, crecimiento, iteración, performance</t>
  </si>
  <si>
    <t>Encajas bastante aunque no vengas de consumer SaaS puro. Tu experiencia en plataformas complejas y sistemas suma mucho</t>
  </si>
  <si>
    <t>Green flag fuerte: remoto europeo. Cultura probablemente intensa pero buena experiencia product</t>
  </si>
  <si>
    <t>https://www.linkedin.com/jobs/search/?alertAction=viewjobs&amp;currentJobId=4416413230&amp;distance=25&amp;f_TPR=a1779092985-&amp;f_WT=1%2C3%2C2&amp;geoId=105646813&amp;keywords=User%20Experience%20Designer&amp;origin=JOB_ALERT_IN_APP_NOTIFICATION&amp;originToLandingJobPostings=4416097406%2C4416413230%2C4416232995%2C4405999936%2C4416222972%2C4414627690&amp;savedSearchId=5198310169&amp;sortBy=R</t>
  </si>
  <si>
    <t>Oferta bastante sólida. Mentionan research, analytics, Hotjar, ownership y diseño end-to-end real</t>
  </si>
  <si>
    <t>Rol de Product Designer enfocado en producto digital SaaS/B2C con ownership completo, research, analytics y colaboración transversal. Mucho más alineado con producto tech maduro y remoto que otras ofertas recientes.</t>
  </si>
  <si>
    <t>Quantion</t>
  </si>
  <si>
    <t>Barcelona (Hybrid)</t>
  </si>
  <si>
    <t>Full-time</t>
  </si>
  <si>
    <t>Consultoría de transformación digital + desarrollo + UX/UI + IA</t>
  </si>
  <si>
    <t>Muy alineado con tu experiencia en UX complejo, documentación, accesibilidad y trabajo cross-functional. Bastante foco en flows, user-centricity, WCAG, prototipado y colaboración con stakeholders. Puede encajar bien tu perfil híbrido entre UX estructural, systems y comunicación. El hecho de que trabajen transformación digital + IA + digital experience tiene bastante relación con tu background SaaS/enterprise.</t>
  </si>
  <si>
    <t>Green flags: mencionan WCAG explícitamente y parecen valorar UX más allá de UI visual. Equipo relativamente técnico y multidisciplinar. Hybrid + full-time + vacaciones + horario flexible da bastante más estabilidad que consultoras contractor. Buena combinación entre empresa mediana y crecimiento internacional. Parece que UX sí tiene espacio dentro de la estructura y no solo marketing.</t>
  </si>
  <si>
    <t>Red flags: sigue siendo consultoría, así que probablemente trabajarías para clientes/proyectos distintos y con cierto contexto corporativo. Puede haber bastante stakeholder management y cambios de prioridades. “Digital sales experience” y B2C puede implicar parte más orientada a conversión/business. También puede ser entorno algo más enterprise/corporate y menos creativo/autónomo.</t>
  </si>
  <si>
    <t>Crecimiento, flexibilidad, multiculturalidad, transformación digital, IA, UX estructural</t>
  </si>
  <si>
    <t>Creo que encajas bastante bien. Especialmente por accesibilidad, workflows, documentación, UX estratégico y capacidad de moverte entre negocio/dev/diseño. Además tu experiencia en Oxford puede conectar bastante con la parte enterprise y de plataformas complejas.</t>
  </si>
  <si>
    <t>https://www.linkedin.com/jobs/search/?alertAction=viewjobs&amp;currentJobId=4415774953&amp;distance=25&amp;f_TPR=a1779180799-&amp;f_WT=1%2C3%2C2&amp;geoId=105646813&amp;keywords=User%20Experience%20Designer&amp;origin=JOB_ALERT_IN_APP_NOTIFICATION&amp;originToLandingJobPostings=4405549517%2C4415774953%2C4415943962%2C4416648658%2C4384089474%2C4407472278&amp;savedSearchId=5198310169&amp;sortBy=R</t>
  </si>
  <si>
    <t>Me da sensación de empresa más estable y estructurada que otras startups/consultoras pequeñas. Menos cutting-edge que una AI-native, pero probablemente más sostenible y compatible con lo que buscas ahora mismo. :contentReference[oaicite:0]{index=0}</t>
  </si>
  <si>
    <t>User Experience Designer - ES</t>
  </si>
  <si>
    <t>Globant</t>
  </si>
  <si>
    <t>On-site</t>
  </si>
  <si>
    <t>Consultoría tecnológica global / transformación digital / IA</t>
  </si>
  <si>
    <t>Enterprise UX, transformación digital, productos complejos, IA, agile, trabajo con grandes clientes</t>
  </si>
  <si>
    <t>Empresa internacional muy consolidada. Equipo de diseño creciendo (+39%). Mucha exposición a proyectos grandes y procesos maduros. Posible aprendizaje fuerte en enterprise/product/AI. Más estabilidad y estructura que startups pequeñas. Beneficios corporativos y red internacional.</t>
  </si>
  <si>
    <t>Entorno bastante consultora/corporate. Dependencia fuerte del cliente/proyecto que te toque. Posible burocracia y menos ownership real. “Innovación” puede depender mucho del equipo concreto. Presencial en Madrid puede ser pesado.</t>
  </si>
  <si>
    <t>Transformación digital, agile, innovación, diversidad, IA, colaboración cross-functional</t>
  </si>
  <si>
    <t>Encaja bastante con tu perfil por UX estructural, documentación, systems thinking, accesibilidad y experiencia en plataformas complejas. Tu background enterprise/SaaS seguramente tenga más valor aquí que en startups más visual-first. Puede ayudarte a consolidar perfil senior en proyectos grandes.</t>
  </si>
  <si>
    <t>Glassdoor bastante mixed típico consultora grande: depende mucho del proyecto/equipo. LinkedIn da sensación de crecimiento estable y apuesta fuerte por IA. Menos “cool” que startups AI-native pero bastante más sólido y reconocible en CV. :contentReference[oaicite:0]{index=0}</t>
  </si>
  <si>
    <t>https://www.linkedin.com/jobs/search/?alertAction=viewjobs&amp;currentJobId=4415943962&amp;distance=25&amp;f_TPR=a1779180799-&amp;f_WT=1%2C3%2C2&amp;geoId=105646813&amp;keywords=User%20Experience%20Designer&amp;origin=JOB_ALERT_IN_APP_NOTIFICATION&amp;originToLandingJobPostings=4405549517%2C4415774953%2C4415943962%2C4416648658%2C4384089474%2C4407472278&amp;savedSearchId=5198310169&amp;sortBy=R</t>
  </si>
  <si>
    <t>Me da sensación de empresa donde puedes aprender bastante estructura y procesos, aunque probablemente sacrificando algo de creatividad/autonomía. Más estable y sólida que startups pequeñas, pero también más corporativa. :contentReference[oaicite:0]{index=0}</t>
  </si>
  <si>
    <t>Product Designer (Confirmed/Senior) - Remote Europe 🇪🇺</t>
  </si>
  <si>
    <t>Pennylane</t>
  </si>
  <si>
    <t>Remote Europe</t>
  </si>
  <si>
    <t>Fintech / Financial OS para SMEs y accountants</t>
  </si>
  <si>
    <t>B2B SaaS complejo, fintech, AI tooling, design systems, research, producto data-heavy, colaboración cross-functional</t>
  </si>
  <si>
    <t>Muy fuerte a nivel producto y cultura de diseño. Equipo de diseño de 35+ personas integrado en squads con Engineering/Product. Mucho ownership real, research, documentación y systems thinking. Remote-first bastante maduro y empresa creciendo muy rápido. Buen nivel de producto y foco real en UX complejo. Beneficios bastante buenos incluso en remoto. Bastante alineado con tu experiencia en plataformas complejas, workflows y SaaS enterprise.</t>
  </si>
  <si>
    <t>Red flag importante: francés obligatorio para user interviews. Eso probablemente sea el mayor blocker real. Ritmo fintech/startup de hipercrecimiento puede ser intenso. Median tenure 1.5 años → crecimiento rápido pero posible desgaste/rotación. “Confirmed/Senior” implica bastante autonomía, mentoring y liderazgo. También al ser contract habría que aclarar modalidad exacta.</t>
  </si>
  <si>
    <t>Autonomía, transparencia, remote-first, ownership, research-driven, colaboración, producto, accesibilidad, excelencia UX</t>
  </si>
  <si>
    <t>De las ofertas que has enseñado probablemente una de las que mejor encajan contigo a nivel tipo de producto y madurez de diseño. Mucho UX estructural, flows complejos, documentación, systems, trabajo con PMs/engineers y producto B2B real. Muy alineado con tu experiencia Oxford/SaaS. Además parece valorar bastante el pensamiento estratégico y no solo UI visual.</t>
  </si>
  <si>
    <t>Parece una empresa bastante potente ahora mismo dentro del ecosistema fintech europeo. Bastante “product company” real y no simple consultora. Glassdoor 4.6 es bastante alto. Se nota cultura de diseño madura y fuerte apuesta por producto. Honestamente, sin el requisito fuerte de francés, la vería muy top para ti. :contentReference[oaicite:0]{index=0}</t>
  </si>
  <si>
    <t>https://www.linkedin.com/jobs/search/?currentJobId=4408779313&amp;distance=25&amp;f_TPR=a1779180799-&amp;f_WT=1%2C3%2C2&amp;geoId=105646813&amp;keywords=User%20Experience%20Designer&amp;origin=JOB_ALERT_IN_APP_NOTIFICATION&amp;originToLandingJobPostings=4405549517%2C4415774953%2C4415943962%2C4416648658%2C4384089474%2C4407472278&amp;savedSearchId=5198310169</t>
  </si>
  <si>
    <t>Senior Product Designer - Authentication Team</t>
  </si>
  <si>
    <t>Veriff</t>
  </si>
  <si>
    <t>Spain (Remote)</t>
  </si>
  <si>
    <t>Product company / Identity verification SaaS</t>
  </si>
  <si>
    <t>B2B SaaS, identity verification, authentication, data-heavy products, security/fraud, enterprise UX</t>
  </si>
  <si>
    <t>Muy buen nivel de producto y bastante alineado con UX complejo y systems thinking. Mucho foco en discovery, research, workshops, flows complejos, métricas y colaboración real con PM/engineering. Remote y con bastante autonomía. Producto claramente complejo y técnico, no marketing-driven. El hecho de trabajar en authentication/identity implica problemas reales y arquitectura de producto seria. Además parece haber bastante ownership y participación estratégica.</t>
  </si>
  <si>
    <t>Equipo de diseño pequeño (5 designers), lo que normalmente implica bastante impacto individual. Mucho foco en colaboración, research y data-driven design. Empresa producto real, no consultora. Beneficios bastante sólidos (stock options, sabbatical, learning budget, remote). Parece haber cultura de producto madura y bastante internacional. También muy alineado con tu capacidad de estructurar sistemas complejos y trabajar con engineers.</t>
  </si>
  <si>
    <t>Entorno probablemente bastante exigente y rápido. Al ser equipo pequeño, puede haber bastante responsabilidad y presión. El dominio identity/fraud puede ser más técnico y menos “emocionalmente creativo”. Mucha orientación a métricas, performance y shipping rápido. También buscan bastante seniority real: liderazgo, workshops, priorización, storytelling y autonomía estratégica.</t>
  </si>
  <si>
    <t>Trust, ownership, collaboration, remote-first, data-driven design, seguridad digital, impacto real</t>
  </si>
  <si>
    <t>Probablemente una de las ofertas más alineadas contigo de todas las que has compartido. Especialmente por mezcla de SaaS complejo + B2B + systems + workflows + research + documentación + trabajo cross-functional. Tu experiencia enterprise y de plataformas complejas puede tener bastante valor aquí. Además el tipo de producto obliga a pensar mucho estructura, edge cases y claridad UX, que son cosas donde sueles encajar bien.</t>
  </si>
  <si>
    <t>https://www.linkedin.com/jobs/collections/recommended/?currentJobId=4375521994&amp;discover=recommended&amp;discoveryOrigin=JOBS_HOME_JYMBII</t>
  </si>
  <si>
    <t>Veriff tiene bastante buena reputación dentro del ecosistema SaaS/security europeo. Mucho más “product company” real que consultora. Puede ser muy potente para posicionarte hacia enterprise SaaS, AI/security o tooling complejo a futuro. Honestamente la veo bastante top para ti si el nivel de exigencia no te abruma demasiado ahora mismo. :contentReference[oaicite:0]{index=0}</t>
  </si>
  <si>
    <r>
      <rPr>
        <rFont val="Arial"/>
        <color theme="1"/>
      </rPr>
      <t xml:space="preserve">Hola Elena, </t>
    </r>
    <r>
      <rPr>
        <rFont val="Arial"/>
        <b/>
        <color rgb="FFFF0000"/>
      </rPr>
      <t>Elena Martín</t>
    </r>
    <r>
      <rPr>
        <rFont val="Arial"/>
        <color theme="1"/>
      </rPr>
      <t xml:space="preserve">
Acabo de aplicar a la posición de Senior Product Designer y quería escribirte porque Veriff es una empresa que ya me llamó mucho la atención hace unos años, de hecho, tuve un screening con </t>
    </r>
    <r>
      <rPr>
        <rFont val="Arial"/>
        <b/>
        <color rgb="FFFF0000"/>
      </rPr>
      <t>Ángela González</t>
    </r>
    <r>
      <rPr>
        <rFont val="Arial"/>
        <color theme="1"/>
      </rPr>
      <t xml:space="preserve"> en 2022.
Me interesa especialmente cómo abordáis productos complejos y críticos desde una perspectiva de confianza, claridad y experiencia de usuario. Vengo de trabajar en plataformas B2B dentro de Oxford University Press, colaborando con producto y desarrollo en workflows complejos, design systems, accesibilidad y documentación transversal.
Te dejo mi portfolio por aquí:
https://abadisedraoui.wixstudio.com/portfolio
¡Gracias!
Zainab</t>
    </r>
  </si>
  <si>
    <t>Modern Health</t>
  </si>
  <si>
    <t>Remote US</t>
  </si>
  <si>
    <t>Mid-level</t>
  </si>
  <si>
    <t>~90k–125k USD (US bands)</t>
  </si>
  <si>
    <t>Product company / Mental health platform</t>
  </si>
  <si>
    <t>Healthtech, mental health, accessibility, UX end-to-end, emotionally sensitive product, mobile + web, content-heavy UX</t>
  </si>
  <si>
    <t>Misión bastante alineada con valores humanos y accesibilidad. Mucho foco en UX real, empathy, inclusion y diseño pensado para personas en situaciones sensibles. Bastante ownership end-to-end y colaboración con PMs, researchers, engineers y clinical teams. Producto complejo y con impacto real. Muy fuerte en UX process, edge cases, systems thinking y claridad de flows. Cultura aparentemente bastante cuidada y orientada a feedback/growth.</t>
  </si>
  <si>
    <t>Empresa producto real y bastante madura. Mucho foco en accesibilidad, research y diseño con intención. Beneficios muy buenos. Cultura remote-first consolidada. Parece haber equilibrio entre craft visual y UX estructural. También valoran sistemas, claridad, documentación y colaboración interdisciplinar, que encaja mucho contigo. Healthtech + producto sensible puede dar experiencia muy valiosa y diferenciadora.</t>
  </si>
  <si>
    <t>Red flags: hyper-growth + cultura “high empathy/high accountability” a veces implica intensidad emocional y exigencia alta. Horario solapado con PST puede ser duro desde España. Equipo probablemente lean y rápido. También piden parte visual/UI bastante fuerte e incluso illustration/content sensibility, que no es exactamente tu foco principal. Rol más mid que senior estratégico puro. El contexto mental health puede ser emocionalmente demandante si ya estás saturada.</t>
  </si>
  <si>
    <t>Empatía, inclusión, accesibilidad, ownership, feedback, wellbeing, colaboración, impacto humano</t>
  </si>
  <si>
    <t>Encaja bastante contigo por accesibilidad, UX complejo, diseño humano, flows estructurados y trabajo cross-functional. Creo que conectarías especialmente con la parte de claridad UX, journeys sensibles y systems thinking. Además tu experiencia en plataformas educativas y accesibilidad puede transferirse bastante bien a healthtech. Donde lo veo menos alineado es en el nivel de energía/intensidad que parece tener la empresa ahora mismo y en la parte más visual/illustrative del rol.</t>
  </si>
  <si>
    <t>https://job-boards.greenhouse.io/modernhealth/jobs/8550516002</t>
  </si>
  <si>
    <t>Modern Health tiene bastante reputación en healthtech US y producto digital. Muy buena marca en CV y probablemente experiencia potente. Honestamente la veo interesante para ti a nivel valores/producto, pero quizá exigente emocionalmente ahora mismo dependiendo del equipo y ritmo real. :contentReference[oaicite:0]{index=0}</t>
  </si>
  <si>
    <t>Principal Designer</t>
  </si>
  <si>
    <t>Deel</t>
  </si>
  <si>
    <t>EMEA / US / LATAM</t>
  </si>
  <si>
    <t>Principal / Staff</t>
  </si>
  <si>
    <t>Global HR/Payroll platform / AI-powered work OS</t>
  </si>
  <si>
    <t>AI-powered orchestration layer, systems design, agentic workflows, personalization, generative UI, cross-product UX</t>
  </si>
  <si>
    <t>Oferta muy top a nivel estratégico y de visión de producto. Muchísimo foco en systems thinking, IA aplicada a UX, arquitectura de experiencias complejas y diseño cross-product. Claramente están intentando construir una capa tipo “AI operating system” encima de múltiples productos. Muy frontier/next-gen UX. Trabajar directamente con el Chief Design Officer también da bastante peso e influencia.</t>
  </si>
  <si>
    <t>Empresa muy fuerte en remote/global product y con bastante madurez en diseño/producto. El foco en orchestration, intent-driven UX y agentic workflows está muy alineado hacia donde va la industria. Mucha exposición a AI UX real, no solo marketing. Probablemente muchísimo ownership e impacto estratégico. También parece una empresa donde diseño tiene peso organizacional real.</t>
  </si>
  <si>
    <t>Red flag principal: el seniority. Esto es claramente nivel Principal/Staff real, probablemente bastante por encima de tu nivel actual en términos de scope organizacional y liderazgo transversal. Piden experiencia demostrable diseñando sistemas AI complejos a escala y alineando múltiples verticales/productos. Mucha ambigüedad, muchísima responsabilidad y presión estratégica. Además Deel tiene reputación de ritmo intenso/high performance. Puede ser entorno bastante demanding y competitivo.</t>
  </si>
  <si>
    <t>AI-native, systems thinking, remote-first, ownership, high craft, product strategy, orchestration, innovation
Honestamente: conceptual y mentalmente conecta muchísimo contigo. Tu manera de pensar sistemas, journeys, IA y estructuras complejas va bastante en esta dirección. Pero creo que el gap está más en “scope demostrado” que en capacidad potencial. Es decir, probablemente podrías crecer hacia algo así en unos años, pero ahora mismo el título/seniority puede jugar bastante en contra.</t>
  </si>
  <si>
    <t>https://jobs.deel.com/deel/job-details/0380d24a-cc3e-4001-8da0-62dcbbece6cd/overview?source=linkedin</t>
  </si>
  <si>
    <t>Aun así, la oferta sirve muy bien para entender hacia dónde podrías orientar tu perfil: AI UX, orchestration systems, enterprise tooling, cross-product experiences, generative interfaces. Me parece bastante alineada con el tipo de diseño que intuitivamente te interesa.```</t>
  </si>
  <si>
    <t>Excelia</t>
  </si>
  <si>
    <t>Consultoría tecnológica / transformación digital</t>
  </si>
  <si>
    <t>UX/UI, software products, design systems, research, ERP/backoffice, plataformas internas, agile</t>
  </si>
  <si>
    <t>Muy alineado con tu experiencia en plataformas complejas, workflows, design systems y colaboración cross-functional. La parte de ERP/backoffice/plataformas internas encaja bastante con tu perfil porque se nota que buscan alguien capaz de estructurar información y procesos complejos, no solo UI visual. También valoran accesibilidad y systems thinking, aunque sea “deseable”.</t>
  </si>
  <si>
    <t>Remote full-time y probablemente más estable que startups pequeñas. Bastante foco en colaboración con producto/dev/stakeholders y ciclo completo de diseño. Buen fit para alguien que sabe documentar, justificar decisiones y trabajar en entornos ágiles reales. Puede darte continuidad en enterprise/SaaS y proyectos complejos.</t>
  </si>
  <si>
    <t>Red flags: consultora relativamente generalista, así que el nivel de madurez UX puede variar mucho según cliente/proyecto. Oferta bastante genérica y poco diferenciada. El hecho de que “Design” no haya crecido en headcount puede indicar que UX no es prioridad estratégica fuerte. Riesgo de acabar haciendo delivery más que producto estratégico. También puede ser entorno bastante orientado a servicio y multitasking.</t>
  </si>
  <si>
    <t>Transformación digital, colaboración, mejora continua, agile, autonomía, UX funcional</t>
  </si>
  <si>
    <t>Creo que encajas bastante bien porque prácticamente describe muchas de las cosas que ya haces: design systems, research, flows, documentación, stakeholders, handoff, UX complejo y trabajo con devs. Además tu experiencia en Oxford y SaaS probablemente tenga bastante valor aquí, especialmente para productos internos o enterprise.
Me da sensación de empresa correcta/estable más que especialmente inspiradora. Menos “product culture” que Pennylane o Veriff, pero probablemente más accesible y bastante coherente con tu perfil actual. Puede ser buen sitio si priorizas estabilidad remota y continuidad profesional. :contentReference[oaicite:0]{index=0}</t>
  </si>
  <si>
    <t>https://www.linkedin.com/jobs/collections/recommended/?currentJobId=4414044186&amp;discover=recommended&amp;discoveryOrigin=JOBS_HOME_JYMBII</t>
  </si>
  <si>
    <r>
      <rPr>
        <rFont val="Arial"/>
        <b/>
        <color rgb="FFFF0000"/>
      </rPr>
      <t xml:space="preserve">Sara Almahano Laguna </t>
    </r>
    <r>
      <rPr>
        <rFont val="Arial"/>
        <color theme="1"/>
      </rPr>
      <t xml:space="preserve">
2nd degree connection
· 2nd
IT Talent Acquisition Specialist | HR Strategy @Excelia
Thursday
Zainab Abadi sent the following messages at 11:45 PM
View Zainab’s profileZainab Abadi, #OPEN_TO_WORK
Zainab Abadi  (She/Her)  11:45 PM
Hola Sara,
Encantada, me llamo Zainab. Te escribo por la oferta de UX/UI Designer. Soy diseñadora y durante los últimos años he trabajado diseñando plataformas digitales complejas en entornos educativos y SaaS (B2B), participando en procesos completos de producto: workflows, arquitectura de información, prototipado, design systems, accesibilidad y documentación en colaboración constante con producto y desarrollo, ventas y legal.
Lo que me llamó la atención de vuestra oferta es el peso que tiene el trabajo transversal dentro del ciclo de vida del producto y el enfoque en software y mejora continua. En Oxford University Press trabajé en plataformas con muchos stakeholders y flujos complejos, intentando siempre equilibrar necesidades de negocio, usuarios y viabilidad técnica de forma práctica y colaborativa.
También me interesa especialmente la parte de sistemas complejos, consistencia entre productos y acompañamiento al desarrollo durante implementación, ya que es una forma de trabajar con la que me identifico mucho.
Este es mi portfolio:
https://abadisedraoui.wixstudio.com/portfolio
Un saludo,
Zainab Abadi</t>
    </r>
  </si>
  <si>
    <t>Middle Product Designer (UX/UI) – Customer / Postcompra</t>
  </si>
  <si>
    <t>hiberus</t>
  </si>
  <si>
    <t>E-commerce complejo con ownership real sobre flujos críticos de postcompra</t>
  </si>
  <si>
    <t>Consultora tech española grande y en crecimiento</t>
  </si>
  <si>
    <t>Fit bastante alto por systems, UX complejo, accesibilidad y trabajo transversal</t>
  </si>
  <si>
    <t>E-commerce/postcompra, pedidos, devoluciones, incidencias y journeys complejos</t>
  </si>
  <si>
    <t>Ownership, autonomía, colaboración técnica, impacto real, calidad</t>
  </si>
  <si>
    <t>Perfil product-oriented con experiencia en squads, flows complejos y trabajo con devs</t>
  </si>
  <si>
    <t>https://www.linkedin.com/jobs/collections/hiring-in-network/?currentJobId=4418953738&amp;origin=SOCIAL_SEEKING_HIRING_IN_NETWORK_IN_APP_NOTIFICATION&amp;originToLandingJobPostings=4418953738</t>
  </si>
  <si>
    <t>Consultora → posible rotación de cliente/proyecto y cultura intensa</t>
  </si>
  <si>
    <t>Muy coherente con tu experiencia real en plataformas complejas y coordinación cross-functional</t>
  </si>
  <si>
    <t>La parte de postcompra y alta casuística encaja bastante con tu forma de pensar estructuralmente</t>
  </si>
  <si>
    <t>Bitfinex</t>
  </si>
  <si>
    <t>Remote Worldwide</t>
  </si>
  <si>
    <t>CET Timezone</t>
  </si>
  <si>
    <t>Fintech/crypto con foco en workflows financieros complejos y alta autonomía</t>
  </si>
  <si>
    <t>Empresa crypto muy consolidada y extremadamente product/tech driven</t>
  </si>
  <si>
    <t>Fit parcial-alto: muy alineado en systems, SaaS y complejidad, menos en dominio fintech/trading</t>
  </si>
  <si>
    <t>Exchange crypto y herramientas financieras avanzadas</t>
  </si>
  <si>
    <t>Autonomía, ownership, innovación, financial freedom, aprendizaje continuo</t>
  </si>
  <si>
    <t>Perfil product-oriented muy autónomo y cómodo en ambigüedad</t>
  </si>
  <si>
    <t>Entorno probablemente intenso, ambiguo y muy high-performance</t>
  </si>
  <si>
    <t>https://www.bitfinex.com/</t>
  </si>
  <si>
    <t>Muy interesante para crecer en producto complejo y data-heavy systems</t>
  </si>
  <si>
    <t>La parte de simplificar workflows financieros complejos encaja bastante con tu manera de estructurar UX</t>
  </si>
  <si>
    <t>Experience Designer UX (All Genders)</t>
  </si>
  <si>
    <t>zooplus</t>
  </si>
  <si>
    <t>E-commerce/product role con bastante peso en research, JTBD y UX estratégico</t>
  </si>
  <si>
    <t>Empresa e-commerce muy consolidada y madura en producto/datos</t>
  </si>
  <si>
    <t>Fit alto contigo por research, accesibilidad, systems y UX estructural</t>
  </si>
  <si>
    <t>Pet e-commerce / platform product</t>
  </si>
  <si>
    <t>JTBD, colaboración, research-driven, evidencia, iteración</t>
  </si>
  <si>
    <t>Perfil UX/product con ownership end-to-end y trabajo transversal</t>
  </si>
  <si>
    <t>60% oficina; entorno probablemente bastante orientado a métricas y negocio</t>
  </si>
  <si>
    <t>https://careers.zooplus.com/jobs/experience-designer-ux-all-genders-madrid-community-of-madrid-spain?SourceTypeID=LINKEDIN</t>
  </si>
  <si>
    <t>Muy interesante por madurez UX y mezcla entre research, producto y ejecución</t>
  </si>
  <si>
    <r>
      <rPr>
        <rFont val="Arial"/>
        <b/>
        <color rgb="FFFF0000"/>
      </rPr>
      <t>Daniel Nebreda Infante</t>
    </r>
    <r>
      <rPr>
        <rFont val="Arial"/>
      </rPr>
      <t xml:space="preserve"> y </t>
    </r>
    <r>
      <rPr>
        <rFont val="Arial"/>
        <b/>
        <color rgb="FFFF0000"/>
      </rPr>
      <t>Eva Scuntaro</t>
    </r>
    <r>
      <rPr>
        <rFont val="Arial"/>
      </rPr>
      <t xml:space="preserve"> he contactado con ellos y les he enviado este enlace: </t>
    </r>
    <r>
      <rPr>
        <rFont val="Arial"/>
        <color rgb="FF1155CC"/>
        <u/>
      </rPr>
      <t>https://www.loom.com/share/357b7491412e42fbb77d70de49e723cb</t>
    </r>
  </si>
  <si>
    <t>Da sensación de equipo UX bastante serio y con pensamiento producto real</t>
  </si>
  <si>
    <t>Senior Product Designer, Tracking Experience</t>
  </si>
  <si>
    <t>Yazio</t>
  </si>
  <si>
    <t>Spain / Germany / Portugal / UK</t>
  </si>
  <si>
    <t>No indicado</t>
  </si>
  <si>
    <t>Rol de producto muy centrado en discovery, research, hábitos y mobile UX</t>
  </si>
  <si>
    <t>Scale-up de nutrición con millones de usuarios y cultura remote-first</t>
  </si>
  <si>
    <t>Fit medio-alto: muy fuerte en research, accesibilidad y systems; más débil en mobile B2C puro</t>
  </si>
  <si>
    <t>App de nutrición, tracking y construcción de hábitos saludables</t>
  </si>
  <si>
    <t>Ownership, autonomía, evidencia, experimentación, bienestar, impacto</t>
  </si>
  <si>
    <t>Buscan una persona que lidere discovery, research, UI, colaboración con ingeniería y toma de decisiones</t>
  </si>
  <si>
    <t>Exigen bastante experiencia en mobile-first, productos de consumo, AI</t>
  </si>
  <si>
    <t>https://www.yazio.com/en/open-positions?utm_source=j99GyPOY10&amp;ashby_jid=4cf41fd3-d172-4d1b-a242-b4024374d8f3</t>
  </si>
  <si>
    <t xml:space="preserve">Muy interesante por cultura, autonomía y calidad de producto
### Green flags
Lo que más me gusta de Yazio es que parece una empresa donde diseño tiene capacidad real de influir en el producto. No hablan de entregar pantallas ni de seguir tickets, sino de liderar discovery, definir investigaciones, entender comportamiento de usuario y participar en decisiones de producto.
También me gusta que el foco esté en hábitos y comportamiento humano. Al final no están diseñando una herramienta que la gente abre una vez al mes, sino una app que forma parte de la rutina diaria de millones de personas. Eso suele obligar a pensar mucho más en fricción, motivación, carga cognitiva y experiencia real de uso.
La cultura también parece bastante sana. Hablan explícitamente de no fomentar horas extra, de autonomía, de trabajo remoto real y de medir impacto más por resultados que por presencia. Eso no es tan habitual como parece.
Otro punto positivo es que parecen valorar mucho la investigación. Mencionan entrevistas, pruebas de usabilidad, experimentación, A/B testing y uso de datos. No da la sensación de que UX esté aislado ni de que la investigación sea algo que se hace únicamente para validar decisiones ya tomadas.
Además, el producto está lo suficientemente consolidado como para tener recursos, usuarios y procesos, pero no parece una corporación gigante donde todo avance lentísimo.
---
### Red flags
La principal es que buscan un perfil bastante senior de verdad. Aunque el título sea "Senior Product Designer", leyendo entre líneas parece una persona con mucha autonomía, criterio visual fuerte, capacidad de investigación propia y experiencia defendiendo decisiones delante de stakeholders importantes.
También veo un gap en la parte mobile B2C. Tu experiencia está mucho más orientada a SaaS, plataformas educativas, workflows complejos y sistemas. Aquí buscan alguien que probablemente lleve años pensando en retención, engagement, hábitos, onboarding móvil y métricas de consumo.
La parte de IA puede ser otra barrera. No porque no tengas experiencia relacionada, sino porque parecen esperar gente que ya trabaje habitualmente con herramientas como Lovable, Replit o flujos de prototipado asistidos por IA.
Y, aunque la cultura parezca buena, este tipo de producto suele vivir muy pegado a métricas. Es probable que haya bastante presión sobre activación, retención, conversión y comportamiento de usuario. No necesariamente es malo, pero sí un entorno más orientado a resultados cuantificables que algunas empresas SaaS o edtech.
---
### Mi impresión
Como empresa me parece bastante mejor que la media de las ofertas que has compartido últimamente.
Como encaje, no la veo imposible en absoluto. De hecho, encajas mucho mejor en la forma de trabajar que en el dominio del producto. Tu investigación, accesibilidad, sistemas, documentación, Maze, trabajo transversal y capacidad para estructurar problemas complejos están bastante alineados.
Si te descartan, probablemente no sería porque no tengas nivel, sino porque encuentren a alguien con más recorrido específico en mobile B2C y productos de hábitos. Si te llaman, yo le dedicaría tiempo al proceso. Es de las ofertas que pueden ayudarte a crecer de verdad como Product Designer.
</t>
  </si>
  <si>
    <t>Rol con mucho ownership. Valoran Maze, investigación, reducción de carga cognitiva, diseño de hábitos y trabajo basado en evidencia. Buen encaje en discovery, research y accesibilidad; menos alineado con experiencia mobile B2C específica. -L5</t>
  </si>
  <si>
    <t>UX/UI Middle</t>
  </si>
  <si>
    <t>WAM</t>
  </si>
  <si>
    <t>24k-34k €</t>
  </si>
  <si>
    <t>Agencia/consultora orientada a producto digital, marketing y conversión</t>
  </si>
  <si>
    <t>WAM (Creativity &amp; Content to Impact)</t>
  </si>
  <si>
    <t>Fit alto en UX, research, accesibilidad, design systems, Figma y colaboración con desarrollo; menos alineado con entorno agencia y preventa</t>
  </si>
  <si>
    <t>Agencia digital / consultoría creativa</t>
  </si>
  <si>
    <t>User-Centered Design, negocio, conversión, rapidez, colaboración</t>
  </si>
  <si>
    <t>Buscan alguien muy autónomo que combine UX, UI, research, preventa y trabajo con marketing</t>
  </si>
  <si>
    <t>Salario bajo para tu perfil; ritmo de agencia; posible multitarea y presión comercial</t>
  </si>
  <si>
    <t>https://www.wamglobal.com/</t>
  </si>
  <si>
    <t>Green flags: valoran investigación real (entrevistas, usabilidad, benchmark), accesibilidad WCAG, arquitectura de información, design systems avanzados, colaboración estrecha con desarrollo, Figma maduro, mobile-first, Hotjar/CRO y uso de IA. La oferta está bastante alineada con lo que ya has hecho en Oxford. Red flags: rango salarial bastante bajo para tu experiencia; entorno de agencia con ritmos rápidos; mucha importancia a preventa y pitches comerciales; esperan perfil híbrido entre UX, UI, negocio y marketing; posible riesgo de contexto más execution que producto.</t>
  </si>
  <si>
    <t>La oferta parece escrita por alguien que entiende UX de verdad, pero la compensación no acompaña al nivel de exigencia. Probablemente encajarías técnicamente mejor de lo que te pagarían.</t>
  </si>
  <si>
    <t>Inflow</t>
  </si>
  <si>
    <t>Spain (EU)</t>
  </si>
  <si>
    <t>App B2C para personas con TDAH, adquirida por Cerebral</t>
  </si>
  <si>
    <t>HealthTech / Mental Health</t>
  </si>
  <si>
    <t>Fit medio-alto: muy fuerte en UX, research, accesibilidad y psicología del usuario; más débil en growth, CRO y experimentación de negocio</t>
  </si>
  <si>
    <t>App de salud mental y apoyo para TDAH</t>
  </si>
  <si>
    <t>Crecimiento, impacto, experimentación, autonomía, IA, comportamiento humano</t>
  </si>
  <si>
    <t>Buscan ownership end-to-end, diseño basado en métricas y capacidad de mover KPIs reales</t>
  </si>
  <si>
    <t>Gap principal: growth design, funnels, CRO, monetización, A/B testing y herramientas AI tipo Cursor/Claude Code</t>
  </si>
  <si>
    <t>https://www.getinflow.io/</t>
  </si>
  <si>
    <t>Green flags: producto con impacto real en la vida de las personas; equipo pequeño con mucho ownership; remoto; mezcla de research y producto; muy centrado en psicología, comportamiento y necesidades reales de usuarios; posibilidad de trabajar en un área que te toca personalmente de cerca (TDAH); valoran curiosidad, autonomía y comodidad con la ambigüedad; parece una empresa donde diseño tiene bastante influencia en el producto. Red flags: enfoque muy fuerte en growth y métricas; esperan experiencia demostrable en conversión, activación, retención y monetización; ritmo probablemente rápido; cultura muy orientada a experimentación; piden trabajar con herramientas AI avanzadas como parte del flujo diario; el título "Senior" probablemente implica más responsabilidad de la que parece; puede haber presión por resultados al formar parte de Cerebral y estar muy ligado a crecimiento de negocio.</t>
  </si>
  <si>
    <t>De todas las ofertas recientes, probablemente es una de las que mejor conecta con tus intereses personales (TDAH, comportamiento humano, accesibilidad, bienestar), pero también una de las que más se aleja de tu experiencia directa en growth y optimización de métricas. Si te llaman será más por tu capacidad de entender usuarios complejos y trabajar en entornos ambiguos que por experiencia específica en CRO.</t>
  </si>
  <si>
    <t>Product Designer (Platform)</t>
  </si>
  <si>
    <t>Revolut</t>
  </si>
  <si>
    <t>Híbrido/Remoto</t>
  </si>
  <si>
    <t>Madrid / Lisboa / Londres / Remote Internacional</t>
  </si>
  <si>
    <t>Plataforma interna, operaciones, compliance, IA y herramientas internas</t>
  </si>
  <si>
    <t>Fintech global (75M+ usuarios)</t>
  </si>
  <si>
    <t>Fit muy alto: sistemas complejos, workflows, accesibilidad, documentación, diseño de plataformas y colaboración transversal</t>
  </si>
  <si>
    <t>Herramientas internas y sistemas operativos a gran escala</t>
  </si>
  <si>
    <t>Systems thinking, escalabilidad, ownership, producto, eficiencia operativa</t>
  </si>
  <si>
    <t>Buscan alguien capaz de convertir procesos complejos y fragmentados en sistemas claros y escalables</t>
  </si>
  <si>
    <t>Posible cultura exigente; fintech de alto rendimiento; interfaces muy densas y técnicas; menos research de usuario final y más usuarios internos</t>
  </si>
  <si>
    <t>https://www.revolut.com/</t>
  </si>
  <si>
    <t>Green flags: probablemente una de las ofertas que mejor encajan con tu experiencia en Oxford; mucho foco en workflows complejos, arquitectura de información, sistemas, estados, edge cases, documentación y colaboración con ingeniería; diseño con impacto estructural; producto maduro; escala enorme; diseño de herramientas internas e IA. Red flags: Revolut tiene fama de entorno exigente y ritmo alto; menos foco en investigación cualitativa y más en eficiencia operativa; puede haber bastante presión por rendimiento y velocidad; dominio fintech complejo con curva de aprendizaje.</t>
  </si>
  <si>
    <t>Sí</t>
  </si>
  <si>
    <t>Muy buen encaje por tu experiencia organizando plataformas complejas, diseño de sistemas, accesibilidad y capacidad para estructurar información. Probablemente mejor encaje que muchas ofertas B2C porque se parece bastante al tipo de problemas que ya has resuelto. :contentReference[oaicite:0]{index=0}</t>
  </si>
  <si>
    <t>Empresa Confidencial</t>
  </si>
  <si>
    <t>Producto digital, transformación digital y experiencia end-to-end</t>
  </si>
  <si>
    <t>Desconocida (probablemente gran empresa o corporación)</t>
  </si>
  <si>
    <t>Fit alto: research, accesibilidad, design systems, journeys complejos, documentación, colaboración transversal y UX estratégico</t>
  </si>
  <si>
    <t>Producto digital complejo</t>
  </si>
  <si>
    <t>Data-driven, negocio, impacto, experimentación, escalabilidad</t>
  </si>
  <si>
    <t>Buscan un Product Designer con influencia en roadmap, métricas, validación y visión estratégica</t>
  </si>
  <si>
    <t>Piden experiencia fuerte en KPIs, A/B testing, analítica y mentoría; empresa desconocida dificulta valorar cultura real</t>
  </si>
  <si>
    <t>-</t>
  </si>
  <si>
    <t>Green flags: probablemente una de las ofertas que mejor encaja con tu evolución profesional; hablan de journeys end-to-end, research cualitativo y cuantitativo, benchmarking, accesibilidad WCAG, design systems, arquitectura de información, colaboración con producto y tecnología y participación en decisiones de roadmap; buscan a alguien que piense más allá de las pantallas y tenga visión de producto; mucho foco en influencia, storytelling y definición de soluciones complejas; diseño parece tener peso estratégico dentro de la organización. Red flags: lenguaje muy corporativo; puede haber diferencia entre lo que promete la oferta y la realidad; fuerte orientación a métricas, KPIs y experimentación; piden experiencia en herramientas que no has utilizado directamente (Quantum Metric, Medallia); esperan probablemente un perfil más senior del que indica el título; al ser empresa confidencial no puedes evaluar liderazgo, cultura, rotación o madurez de diseño antes de entrar en el proceso.</t>
  </si>
  <si>
    <t>Sinceramente, leyendo únicamente la descripción, es de las ofertas que más se parecen a lo que has hecho en Oxford: investigación, accesibilidad, journeys complejos, documentación, stakeholders, sistemas de diseño y producto. Más encaje que muchas ofertas de Growth, CRO o marketing que hemos revisado. :contentReference[oaicite:0]{index=0}</t>
  </si>
  <si>
    <t>Senior Product Engineer</t>
  </si>
  <si>
    <t>Jobgether (cliente confidencial)</t>
  </si>
  <si>
    <t>HealthTech, producto digital y desarrollo front-end</t>
  </si>
  <si>
    <t>Salud digital / monitorización remota</t>
  </si>
  <si>
    <t>Fit bajo-medio: muy alineado en UX, accesibilidad y producto; poco alineado en desarrollo</t>
  </si>
  <si>
    <t>Plataforma de atención sanitaria remota</t>
  </si>
  <si>
    <t>Impacto, accesibilidad, producto, salud, colaboración interdisciplinar</t>
  </si>
  <si>
    <t>Buscan alguien híbrido entre Product Designer y Front-end Engineer</t>
  </si>
  <si>
    <t>React, React Native, TypeScript y desarrollo son requisitos centrales</t>
  </si>
  <si>
    <r>
      <rPr>
        <rFont val="Arial"/>
        <color rgb="FF1155CC"/>
        <u/>
      </rPr>
      <t>https://www.linkedin.com/jobs/search-results/?currentJobId=4424573301&amp;keywords=tribbu&amp;origin=JOBS_HOME_SEARCH_BUTTON</t>
    </r>
    <r>
      <rPr>
        <rFont val="Arial"/>
      </rPr>
      <t xml:space="preserve"> </t>
    </r>
  </si>
  <si>
    <t>Green flags: misión muy alineada con salud y mejora de calidad de vida; mucho foco en accesibilidad, usabilidad, journeys complejos y usuarios con necesidades diversas; colaboración con clínicos y equipos multidisciplinares; ownership real de producto; trabajo con investigación, prototipado y validación; remoto; stock options; presupuesto de formación; sector donde el diseño tiene impacto tangible en las personas. Red flags: realmente no buscan un Product Designer sino un Product Engineer; React, React Native y TypeScript son requisitos principales; esperan diseñar y desarrollar; entorno regulado con bastante responsabilidad; IA aplicada al desarrollo; gran parte del valor esperado está en la implementación técnica más que en UX puro.</t>
  </si>
  <si>
    <t>No</t>
  </si>
  <si>
    <t>Aunque la temática encaja muy bien contigo (salud, accesibilidad, usuarios complejos, producto con impacto social), el requisito de programación es demasiado central. Probablemente no merece la pena invertir mucho tiempo salvo que quisieras pivotar hacia un perfil Product Engineer. :contentReference[oaicite:0]{index=0}</t>
  </si>
  <si>
    <t>3-4 años</t>
  </si>
  <si>
    <t>24k–34k</t>
  </si>
  <si>
    <t>Rol muy completo para alguien con perfil UX/UI clásico: research, arquitectura de información, design systems, accesibilidad, prototipado, colaboración con desarrollo y participación en preventa. Tiene bastante más UX del que suele verse en agencias.</t>
  </si>
  <si>
    <t>Agencia/consultora en crecimiento con foco en transformación digital, creatividad, marketing y negocio. Parece una empresa bastante dinámica y moderna, con cierta madurez en UX pero claramente orientada a resultados comerciales.</t>
  </si>
  <si>
    <t>Encajas muy bien técnicamente: research, Hotjar/Maze, entrevistas, accesibilidad, arquitectura de información, design systems, documentación y trabajo con desarrollo. Sin embargo, el salario está claramente por debajo de tu posicionamiento actual y el rol parece más Middle que Senior. Veo más encaje funcional que progresión profesional.</t>
  </si>
  <si>
    <t>Consultora fundada en 2014. Mezcla creatividad, tecnología, marketing y transformación digital. Trabajan mucho la parte de conversión, experiencia digital y negocio. Fuerte colaboración entre diseño, marketing y desarrollo.</t>
  </si>
  <si>
    <t>Orientación a negocio, innovación, crecimiento continuo, colaboración, flexibilidad, aprendizaje y mejora continua. Bastante cultura de agencia moderna.</t>
  </si>
  <si>
    <t>Buscan alguien muy ejecutor, rápido, autónomo, con mentalidad UX completa y capacidad de moverse entre diseño, cliente, marketing y desarrollo.</t>
  </si>
  <si>
    <t>Valoran IA (Claude, LLMs), Framer, Webflow, CRO, Hotjar, Clarity, Motion Design y prototipado avanzado. Son puntos donde podrías diferenciarte respecto a otros candidatos.</t>
  </si>
  <si>
    <t>https://www.linkedin.com/jobs/view/4417053941/?refId=t9J6jAVUSfOMj7anlfdIPw%3D%3D&amp;trackingId=t9J6jAVUSfOMj7anlfdIPw%3D%3D</t>
  </si>
  <si>
    <t>Lo más atractivo es que reconocen explícitamente research, accesibilidad y design systems. Lo menos atractivo es que piden prácticamente un Senior/Product Designer y pagan como un Middle.</t>
  </si>
  <si>
    <t>No aplicada</t>
  </si>
  <si>
    <t>Buen encaje técnico. Mal encaje salarial. Probablemente te aportaría experiencia en agencia y negocio, pero difícil justificar un cambio respecto a Oxford salvo que hubiera margen de negociación importante (&gt;38-40k) o un plan de crecimiento muy claro.</t>
  </si>
  <si>
    <t>TRIBBU</t>
  </si>
  <si>
    <t>Madrid (Arturo Soria)</t>
  </si>
  <si>
    <t>Senior consolidado (5-8+ años aprox.)</t>
  </si>
  <si>
    <t>Hasta 55k</t>
  </si>
  <si>
    <t>Producto muy interesante, marketplace complejo, mobile-first, mucho ownership y contacto directo con negocio. Alto aprendizaje.</t>
  </si>
  <si>
    <t>Empresa en crecimiento fuerte, equipo pequeño (~50 personas), cultura startup/scaleup.</t>
  </si>
  <si>
    <t>🟡 Encaje parcial. Fuerte en Design Systems, UX, accesibilidad y research. Más débil en mobile nativo, pagos, KYC y marketplaces.</t>
  </si>
  <si>
    <t>Plataforma de movilidad compartida. Crecimiento x30 usuarios activos. Millones de viajes mensuales.</t>
  </si>
  <si>
    <t>Autonomía, rapidez, ownership, poca burocracia, impacto directo, orientación a producto.</t>
  </si>
  <si>
    <t>Buscan alguien acostumbrado a ambigüedad, entornos cambiantes, mobile nativo, flujos transaccionales y liderazgo de producto.</t>
  </si>
  <si>
    <t>Phantom shares, comida, gym, nutricionista, agosto remoto, horario flexible.</t>
  </si>
  <si>
    <t>https://www.linkedin.com/jobs/search-results/?currentJobId=4429928580&amp;eBP=CwEAAAGe1khpW1jmm5pdVR1dMQBbKJXANoxR5F3IV2-7pvo7lN9d9ysYlj8MDShIxFPS3XzRBHx3WrBVolRDrtifmqqMoarax4dyW0BKiv7uxWAfonI5io-S1AaJrDsEWKO2hopG7nAjN_0ghFMrRvyHu9Z0yYsGYkxS0y96fWeksvjimMyV4AWZcUwQJboZpIs6gSS9EZsm39OEmkc2yCl13i9wOU6Rg80XGoKNM71AnajVdAoNFCsEzlddJ9p4MqRrc0NJApebFWGvk9O34YJ0YyQ4so6CAH8ZzDWVeqxWL-2y6_mafPVt6OZ-DZzKv3HbUdKqkIJDFJmSqWq1OzpxuObtghrHjjK6CbjSLsHcVOhvHI2GuepiiXgH0gxPUiBjNxv1JODcxkICNlbBVOtGbev8qCMPwD6u8TmNfYT3JBEYC08xjyl5RVrVfszL9veMDXI6X9M52isviguVgn1ydWIEAWWbZY_Jk73x8VBgNEbTDnX_Ug&amp;refId=pUd5C97FRC31giJOlQDNYw%3D%3D&amp;trackingId=XHGBzBM32wBWI9QPjOc%2BQg%3D%3D&amp;keywords=product%20designer&amp;origin=JOB_SEARCH_PAGE_JOB_FILTER&amp;referralSearchId=w4Q2KR8%2FMQGbedOmkASn8g%3D%3D&amp;geoId=105646813&amp;distance=0.0&amp;f_TPR=r86400</t>
  </si>
  <si>
    <t>Green Flags: Research dedicado, discovery continuo, Design System, producto real, impacto visible, colaboración estrecha con ingeniería. Red Flags: Ritmo muy alto, posible caos organizativo, "sin burocracia" puede significar falta de procesos, fuerte presión por resultados, seniority posiblemente superior al anunciado.</t>
  </si>
  <si>
    <t>Angela y David</t>
  </si>
  <si>
    <t>Empresa atractiva pero orientada a un perfil más senior del que indica el título. Probablemente buscan alguien con experiencia previa en marketplaces, mobile y producto de alta incertidumbre. Buen objetivo a medio plazo, pero actualmente el encaje es moderado.</t>
  </si>
  <si>
    <t>Glovo</t>
  </si>
  <si>
    <t>Híbrido (3 oficina / 2 remoto)</t>
  </si>
  <si>
    <t>Probablemente 55k-75k€ + equity</t>
  </si>
  <si>
    <t>Product Design maduro con fuerte orientación a producto, experimentación, research y Design Systems.</t>
  </si>
  <si>
    <t>Una de las empresas de producto más consolidadas de España, integrada en Delivery Hero.</t>
  </si>
  <si>
    <t>🟡 Encaje medio-alto. Muy buena oportunidad, aunque el seniority esperado está algo por encima de tu experiencia actual.</t>
  </si>
  <si>
    <t>Plataforma de delivery presente en 65 países con millones de usuarios y cultura de producto consolidada.</t>
  </si>
  <si>
    <t>Colaboración, feedback, ownership, diversidad, aprendizaje continuo, velocidad.</t>
  </si>
  <si>
    <t>Buscan Product Designers capaces de liderar iniciativas completas, colaborar con múltiples disciplinas y contribuir a la madurez del diseño dentro de la organización.</t>
  </si>
  <si>
    <t>Equity, seguro médico, crédito Glovo, terapia online, descuentos, movilidad internacional.</t>
  </si>
  <si>
    <t>https://www.linkedin.com/jobs/search-results/?currentJobId=4427436721&amp;eBP=CwEAAAGe1JjXauqHcb8_23DfoL_IJtLqnezQPqv8yVsEJYiIX4H4X8r9MYmil4DRcv8Sz7-LgBeQWyVph3dcJfjfvBEo-Q2anjmoPD0bONN-k-FrjvtvmszHpmBeew6Kmk957_mGDgv3mXLUeT0fZjtIgP_lavy26KBc7DhZBNE7BGFamg5wM6UErsyYiQzwrcdq5TglKC5v2k30pSlsdH1BAt6-6lVcayrgfKI1H80OXN0-TMlmxoldkXOSi1PuLZ7m7s9qdql6Gt__UrojYQTpt2hAg1KyNxYsIFieq0z8HkPCeFHur3aICRQBCfryABm9PGhg6xxJG5O3tpc5dvbrGNm4FNGEF0kIj-VgyH54Ss8URoX3zqwYXNjdBY56LnBPu-qqm753Eo6SxqfwLun562GwzR669-OuzzU0fJcefJxb7UzGLXpJZCmjKbUDY6Vs3Bfjq_5QKnK_5o4BdoXVPtHo4KptqTb8itCT_hK96a21T72oaw&amp;refId=FEYWEM%2BMCh2q%2FOXsqg9Hsg%3D%3D&amp;trackingId=4eylwe3zJZonaYabgz8C7Q%3D%3D&amp;keywords=product+designer&amp;origin=JOB_SEARCH_PAGE_JOB_FILTER&amp;referralSearchId=3UXZO4Zvpbd%2BLxvWL%2Fmk1Q%3D%3D&amp;start=50&amp;f_TPR=r604800</t>
  </si>
  <si>
    <t>Green Flags: research; UX Research dedicada; Data; Product; Design Systems; Lean UX; Agile; prototipado; workshops; validación con usuarios; métricas cualitativas y cuantitativas; producto móvil; cultura de diseño madura; portfolio basado en casos reales; explícitamente dicen que no hace falta cumplir el 100% de requisitos. Muy alineado con cómo trabajabas en Oxford. Red Flags: 5+ años de Product Design; mentoring de diseñadores junior; experiencia en organizaciones de producto rápidas; fuerte foco mobile; presencialidad en Barcelona; competencia muy alta.</t>
  </si>
  <si>
    <t>Aplicada</t>
  </si>
  <si>
    <t>Impresión general: esta oferta está en un punto intermedio entre Alan y Xe. No es tan extrema como Alan, pero sí esperan una madurez de producto superior a la de una UX/UI tradicional. Lo interesante es que valoran exactamente muchas de las competencias que has desarrollado: investigación, colaboración transversal, Design Systems, workshops, validación con usuarios, accesibilidad y capacidad para trabajar con ambigüedad. Donde podrías quedar algo por detrás es en experiencia específica dentro de organizaciones de producto digital puras y en el liderazgo esperado de un Senior Product Designer. Aun así, la propia oferta deja claro que buscan potencial y diversidad de perfiles, no únicamente personas que cumplan todos los requisitos. Encaje estimado: 7,5/10. Menos alineada que Xe, Omega CRM o Zooplus, pero bastante más realista que Alan o Bitpanda. Además, es una empresa donde podrías crecer mucho si superas el filtro inicial.</t>
  </si>
  <si>
    <t>Xe</t>
  </si>
  <si>
    <t>Híbrido (2 días WFH)</t>
  </si>
  <si>
    <t>Alcobendas, Madrid</t>
  </si>
  <si>
    <t>3-6 años</t>
  </si>
  <si>
    <t>35.700€ - 54.900€</t>
  </si>
  <si>
    <t>Product Design bastante equilibrado entre UX, UI, research, Design Systems y colaboración con producto.</t>
  </si>
  <si>
    <t>Empresa consolidada de pagos internacionales respaldada por Euronet Worldwide.</t>
  </si>
  <si>
    <t>🟢 Muy buen encaje. Una de las ofertas más realistas para tu perfil actual.</t>
  </si>
  <si>
    <t>Plataforma fintech utilizada por cientos de miles de usuarios para transferencias y pagos internacionales.</t>
  </si>
  <si>
    <t>Transparencia, humildad, impacto, colaboración, orientación al usuario.</t>
  </si>
  <si>
    <t>Buscan una Product Designer mid-level con ownership, research, Design Systems y experiencia diseñando productos digitales completos.</t>
  </si>
  <si>
    <t>Bonus anual, ESPP, revisiones salariales, cumpleaños libre, movilidad internacional, formación.</t>
  </si>
  <si>
    <t>https://www.linkedin.com/jobs/search-results/?currentJobId=4413029816&amp;eBP=NOT_ELIGIBLE_FOR_CHARGING&amp;refId=FEYWEM%2BMCh2q%2FOXsqg9Hsg%3D%3D&amp;trackingId=OIf4gBcFJYc4qL%2BmHXiAoQ%3D%3D&amp;keywords=product%20designer&amp;origin=JOB_SEARCH_PAGE_JOB_FILTER&amp;referralSearchId=3UXZO4Zvpbd%2BLxvWL%2Fmk1Q%3D%3D&amp;start=50&amp;f_TPR=r604800</t>
  </si>
  <si>
    <t>Green Flags: piden exactamente 3-6 años; UX research; entrevistas; usabilidad; Design Systems; Figma avanzado; mobile + web; IA integrada en diseño; fintech como plus y no requisito; HTML/CSS solo deseable; producto propio; impacto real; colaboración con PMs e ingeniería; salario transparente. Red Flags: hablan de métricas de negocio (conversión, retención, NPS) y quizá te pregunten más por impacto cuantitativo del habitual; Alcobendas; fintech tiene cierta curva de aprendizaje.</t>
  </si>
  <si>
    <t>Impresión general: probablemente una de las ofertas con mejor equilibrio entre ambición y realismo de todas las que has compartido. No buscan una senior de 8 años, tampoco una junior. Buscan exactamente alguien en el rango 3-6 años con experiencia en producto digital, research, Design Systems y colaboración transversal. Además, muchas de las cosas que aparecen como "must-have" son precisamente las áreas donde has trabajado en Oxford: investigación, prototipado, accesibilidad, documentación, workflows complejos y sistemas de diseño. El requisito de IA tampoco debería ser un problema porque ya utilizas herramientas de IA en investigación, síntesis, contenido y diseño. Encaje estimado: 9,5/10. Posiblemente una de las oportunidades más realistas y mejor alineadas con tu experiencia, junto con Omega CRM, Zooplus, SDG y knowmad mood.</t>
  </si>
  <si>
    <t>Bending Spoons</t>
  </si>
  <si>
    <t>Híbrido / Remoto</t>
  </si>
  <si>
    <t>Madrid, Milán, Londres, Varsovia o remoto</t>
  </si>
  <si>
    <t>No especificada (buscan excelencia más que años)</t>
  </si>
  <si>
    <t>66k€ - 188k€ + equity</t>
  </si>
  <si>
    <t>No es una oferta normal de UX/UI. Buscan perfiles con capacidad analítica excepcional, mentalidad de producto y uso intensivo de IA.</t>
  </si>
  <si>
    <t>Una de las empresas tecnológicas europeas más exigentes y selectivas.</t>
  </si>
  <si>
    <t>🟡 Encaje intelectual alto. 🔴 Encaje práctico medio.</t>
  </si>
  <si>
    <t>Empresa propietaria de Evernote, WeTransfer, Meetup, Vimeo, Remini y otras plataformas con cientos de millones de usuarios.</t>
  </si>
  <si>
    <t>Excelencia, talento, meritocracia extrema, ownership, velocidad, impacto.</t>
  </si>
  <si>
    <t>Buscan diseñadores capaces de pensar producto, negocio, UX, IA y ejecución como una sola disciplina.</t>
  </si>
  <si>
    <t>Equity, seguro médico premium, formación ilimitada, retiro anual, remoto internacional.</t>
  </si>
  <si>
    <t>https://www.linkedin.com/jobs/search-results/?currentJobId=4425786526&amp;eBP=CwEAAAGe1JjXaYZFtnGeqhT2TWfAGHb0GmUCzibsQfRvYRN2yrnWSvm01tKrybakbLzxK6cc8pyiJKvli_CEa-LICMZuYtwQvuW3mx7aAhAlsM4TPzrjSw7gKocPlxK3zW1UfC0KBeM1qsDhfO2u404hqYkKFEb_aGXzSMPdEFmiFEjNqWCNjrY70yYIjkokWloDMd4imghBzA3YJKvqLGyOOH2Sjrl1VmCvB7xWt3smLOlqYfA18Cm8HlaM88fhgiPRagde1rlEYBruczxo-Bs00DXknCGE-P5iVUOyFzYb5bc07exIxClUNXXe2adPOSpXa3M1u6A1uabEbMTSUot-L32QQ4FzwnN4-wmtp7g23qDxEtp5nvYIX-Wutk4b4K4HWPG1WZCi1tho0ByjSZXlp5zT0dFrAIwcD0euhqeNdaHYqiAsy39EIq1KR_EJpgjNBlUfjaCd537V7vw7kmNeKdUZYqDO1GlkK9ipRLOdqEMQxuHXDg&amp;refId=FEYWEM%2BMCh2q%2FOXsqg9Hsg%3D%3D&amp;trackingId=OBSKyl9JbdfKjl1OjTv2Ng%3D%3D&amp;keywords=product%20designer&amp;origin=JOB_SEARCH_PAGE_JOB_FILTER&amp;referralSearchId=3UXZO4Zvpbd%2BLxvWL%2Fmk1Q%3D%3D&amp;start=50&amp;f_TPR=r604800</t>
  </si>
  <si>
    <t>Green Flags: UX/UI end-to-end; research; producto digital; ownership; colaboración con PMs e ingeniería; IA aplicada; impacto masivo; autonomía; crecimiento acelerado; valoran potencial más que títulos; no exigen fintech ni sector específico. Red Flags: probablemente el proceso más difícil de todas las ofertas revisadas; esperan prototipar con código y herramientas IA; hablan explícitamente de Cursor y Claude Code; selección extremadamente competitiva (0,04% oferta); cultura muy exigente; ritmo alto; posible riesgo de burnout para ciertos perfiles.</t>
  </si>
  <si>
    <t>Baja-Media prioridad</t>
  </si>
  <si>
    <t>Impresión general: esta oferta es muy distinta a las demás. No están contratando una UX Designer tradicional, sino alguien con capacidad de razonamiento, aprendizaje rápido y mentalidad de producto muy fuerte. Lo curioso es que algunas de tus fortalezas encajan bastante: te gusta entender sistemas complejos, has trabajado con ownership, research, accesibilidad, Design Systems y no te asustan los entornos ambiguos. Donde estarías más lejos es en la parte de producto digital a escala masiva, métricas de negocio, experimentación continua y prototipado con código e IA como parte del flujo diario. Encaje estimado: 6,5/10. No porque no tengas nivel de UX/UI, sino porque Bending Spoons juega en una liga muy particular donde buscan perfiles excepcionalmente analíticos, obsesionados con producto y capaces de absorber dominios nuevos a gran velocidad. Si alguna empresa valora más el potencial que los años exactos, es esta, pero también es una de las más selectivas de Europa.</t>
  </si>
  <si>
    <t>Senior Product Designer – Advanced Trading</t>
  </si>
  <si>
    <t>Bitpanda</t>
  </si>
  <si>
    <t>Probablemente 60k-90k€ + stock options</t>
  </si>
  <si>
    <t>Product Design senior de verdad. Mucha complejidad, datos en tiempo real, sistemas avanzados y ownership.</t>
  </si>
  <si>
    <t>Una de las fintech/crypto más grandes de Europa con más de 7 millones de usuarios.</t>
  </si>
  <si>
    <t>🔴 Encaje bajo-medio pese a ser una gran empresa.</t>
  </si>
  <si>
    <t>Plataforma de inversión en criptomonedas, acciones, metales y otros activos financieros.</t>
  </si>
  <si>
    <t>Ownership, velocidad, impacto, autonomía, excelencia, mentalidad de producto.</t>
  </si>
  <si>
    <t>Buscan alguien que entienda trading profesional, datos complejos y workflows financieros avanzados.</t>
  </si>
  <si>
    <t>Stock options, formación, OpenUp, work from abroad, beneficios premium.</t>
  </si>
  <si>
    <t>https://www.linkedin.com/jobs/search-results/?currentJobId=4425786526&amp;eBP=BUDGET_EXHAUSTED_JOB&amp;refId=v0kCFj2s0os9G8OJiO%2Byqg%3D%3D&amp;trackingId=0DwVVxnE0c%2Fa1pukVF4gtg%3D%3D&amp;keywords=product+designer&amp;origin=JOB_SEARCH_PAGE_JOB_FILTER&amp;referralSearchId=3UXZO4Zvpbd%2BLxvWL%2Fmk1Q%3D%3D</t>
  </si>
  <si>
    <t>Green Flags: Product Design; research; Design Systems; UX/UI end-to-end; datos complejos; colaboración con producto e ingeniería; producto propio; usuarios masivos; cultura internacional; inglés. Red Flags: trading avanzado es requisito real, no un plus; order books; liquidez; spreads; market depth; analítica financiera; experiencia fintech o crypto prácticamente esperada; piden claramente 5+ años senior; mentoring; liderazgo de diseño; múltiples proyectos complejos simultáneos.</t>
  </si>
  <si>
    <t>Baja prioridad</t>
  </si>
  <si>
    <t>Impresión general: esta es una de esas ofertas que sobre el papel parecen encajar porque hablan de Product Design, research, Figma y Design Systems, pero el dominio es extremadamente específico. No buscan simplemente una Product Designer senior; buscan alguien capaz de diseñar herramientas para traders avanzados que entienden conceptos financieros complejos y toman decisiones en tiempo real. Tu experiencia en plataformas complejas, accesibilidad y workflows te ayudaría en la parte metodológica, pero te faltaría la capa de dominio financiero y trading que aquí parece central. Además, el nivel de seniority esperado probablemente esté más cerca de perfiles con 6-10 años en fintech, SaaS complejo o productos de datos. Encaje estimado: 4,5/10. Muy buena empresa y probablemente muy buen salario, pero una de las ofertas más alejadas de tu experiencia específica.</t>
  </si>
  <si>
    <t>K-LAGAN</t>
  </si>
  <si>
    <t>No especificada</t>
  </si>
  <si>
    <t>20k-35k €</t>
  </si>
  <si>
    <t>UX/UI bastante generalista, con foco en web corporativa, contenido digital y optimización de experiencia.</t>
  </si>
  <si>
    <t>Consultora tecnológica internacional con foco en transformación digital y servicios a clientes.</t>
  </si>
  <si>
    <t>🟡 Encaje funcional alto, encaje salarial bajo.</t>
  </si>
  <si>
    <t>Servicios tecnológicos, transformación digital, innovación y consultoría.</t>
  </si>
  <si>
    <t>Humanización de la tecnología, sostenibilidad, innovación, desarrollo profesional.</t>
  </si>
  <si>
    <t>Buscan una persona capaz de combinar UX research, wireframes, prototipos, diseño visual y optimización continua de experiencias web.</t>
  </si>
  <si>
    <t>Seguro médico, formación, remoto, flexibilidad, beneficios sociales.</t>
  </si>
  <si>
    <t>https://www.linkedin.com/jobs/search-results/?currentJobId=4423655698&amp;eBP=NOT_ELIGIBLE_FOR_CHARGING&amp;refId=v0kCFj2s0os9G8OJiO%2Byqg%3D%3D&amp;trackingId=5h%2BH2gPQ9kpLvRVQqXeGSg%3D%3D&amp;keywords=product+designer&amp;origin=JOB_SEARCH_PAGE_JOB_FILTER&amp;referralSearchId=3UXZO4Zvpbd%2BLxvWL%2Fmk1Q%3D%3D</t>
  </si>
  <si>
    <t>Green Flags: remoto; UX research; wireframes; prototipos; Figma; analítica valorada; inglés; colaboración con negocio; diseño basado en evidencia; experiencia bastante alineada con tu perfil. Red Flags: salario 20k-35k; foco importante en web corporativa y contenido; peso considerable de diseño visual/marketing; Photoshop e Illustrator aparecen como herramientas relevantes; parece más un rol de UX/UI web que de Product Design; consultoría.</t>
  </si>
  <si>
    <t>Impresión general: técnicamente podrías hacer este trabajo sin ningún problema. De hecho, probablemente estés por encima de buena parte de los requisitos. El problema principal es que la banda salarial parece claramente inferior a tu objetivo actual y a tu experiencia. Además, la descripción transmite más un rol orientado a web corporativa, experiencia digital y optimización de contenidos que a producto complejo, Design Systems avanzados o plataformas B2B. Encaje profesional: 8/10. Encaje estratégico: 4/10. Si estuvieras buscando reincorporarte rápidamente al mercado podría tener sentido, pero como siguiente paso de carrera parece por debajo de opciones como SDG, Omega CRM, Cuatroochenta, Zooplus o knowmad mood.</t>
  </si>
  <si>
    <t>Experience Designer UX</t>
  </si>
  <si>
    <t>3-5 años</t>
  </si>
  <si>
    <t>UX muy puro, con bastante peso en research, discovery, JTBD y colaboración con producto. Menos UI y más resolución de problemas.</t>
  </si>
  <si>
    <t>Empresa líder en e-commerce para mascotas con más de 12 millones de clientes y presencia europea consolidada.</t>
  </si>
  <si>
    <t>🟢 Muy buen encaje. Probablemente una de las ofertas más alineadas con tu experiencia real.</t>
  </si>
  <si>
    <t>Producto digital B2C a gran escala. Equipos internacionales y cultura de producto madura.</t>
  </si>
  <si>
    <t>Curiosidad, evidencia, colaboración, aprendizaje continuo, enfoque en usuario.</t>
  </si>
  <si>
    <t>Buscan una UX Designer capaz de trabajar end-to-end, hacer research, definir problemas, colaborar con producto y defender decisiones basadas en evidencia.</t>
  </si>
  <si>
    <t>Trabajo híbrido, trabajo desde otros países 20 días/año, formación, transporte subvencionado, descuentos.</t>
  </si>
  <si>
    <t>https://www.linkedin.com/jobs/search-results/?currentJobId=4429704133&amp;eBP=NOT_ELIGIBLE_FOR_CHARGING&amp;refId=dQXmYKMwnkvctYy6sGNI0A%3D%3D&amp;trackingId=Mz8nQN7O5C1Xl5%2FjWyNvaA%3D%3D&amp;keywords=product%20designer&amp;origin=JOB_SEARCH_PAGE_JOB_FILTER&amp;referralSearchId=EJNAQDW63LzTlILqvPZJtQ%3D%3D&amp;f_TPR=r86400</t>
  </si>
  <si>
    <t>Green Flags: piden 3-5 años (encajas perfectamente); research real; entrevistas; usabilidad; JTBD; Maze aparece como plus; Design Systems; Agile; stakeholders; ambigüedad; IA aplicada al diseño; producto digital consolidado; entorno internacional. Muy alineado con Oxford. Red Flags: híbrido 60% oficina; B2C e-commerce (menos cercano a tu experiencia que B2B); posiblemente menos peso en accesibilidad y sistemas complejos; no indican salario.</t>
  </si>
  <si>
    <t>Impresión general: esta oferta parece bastante mejor de lo que aparenta. Aunque el título no es Product Designer, en realidad están buscando alguien con mentalidad de producto. Lo más interesante es que valoran discovery, investigación, JTBD, validación y capacidad para trabajar con incertidumbre, que son precisamente áreas donde tu experiencia en Oxford tiene bastante peso. Además, piden exactamente el rango de experiencia (3-5 años) que tienes. El salto de B2B educación a B2C e-commerce existe, pero metodológicamente es mucho más transferible que pasar a CRO puro o a Design Engineer. Encaje estimado: 9/10. Junto con Omega CRM, SDG, Cuatroochenta, knowmad mood y Excelia, es de las ofertas que mejor casan con tu perfil actual y con un siguiente paso realista de carrera.</t>
  </si>
  <si>
    <t>Híbrido (2 días oficina)</t>
  </si>
  <si>
    <t>Probablemente 60k-90k€ + equity</t>
  </si>
  <si>
    <t>Product Design de máximo nivel, muy orientado a estrategia, ownership, research y producto.</t>
  </si>
  <si>
    <t>Una de las empresas de producto más prestigiosas de Europa en HealthTech. Cultura extremadamente fuerte y selectiva.</t>
  </si>
  <si>
    <t>🟡 Encaje medio. Encaja en filosofía y competencias, pero compites contra perfiles muy senior de producto.</t>
  </si>
  <si>
    <t>HealthTech que integra seguros, prevención y atención sanitaria. 1M+ usuarios, 40k+ empresas y cientos de millones de ARR.</t>
  </si>
  <si>
    <t>Ownership, excelencia, autonomía, transparencia radical, simplicidad, foco en usuario.</t>
  </si>
  <si>
    <t>Buscan Product Designers capaces de liderar producto desde cero, influir en estrategia, hacer research, definir visión y mentorizar diseñadores.</t>
  </si>
  <si>
    <t>Equity, seguro médico premium, coaching individual, presupuesto de formación, equipamiento top, vacaciones flexibles.</t>
  </si>
  <si>
    <t>https://www.linkedin.com/jobs/search-results/?currentJobId=4426839635&amp;eBP=CwEAAAGe1JjXaSfm7t74IuRWHwuAWingKVCTvGKk2pQA_PiGPKO1n1MnYd2D5BqtzjMz9gfsF3oyXHGDgKzLnPYyxlZZHJxjZQ6PXwrN_kOM4rZckrMmUy28AyhP8hD3rkRoNJeW5zXXxnkF9-1gkdR3CQCLiF_tXyPfXip9moVJelFJRhv76gjwdBBCVKmsG5VaRaIiArdy4c7CgAuX2bgraXnjhQnC5vW7HqUbtyzhV_0RKj5Q62Xh_3Y-MLwu1_A2xNW3pFFmywUgkTcpkRNy5EkCmxKvfEe2013qZcmJoSv119pufRUa9lPC67KQeUD7w8MffeagnUlfjAUy6EdSgtAqZkLXFLHYKlxlLNuqOHaFrhda4E38r8RUePCvOM75s2NSQmGdOo1vdoA4JA5MNRIrDRXd5SOoebG5PLMw2ibAc1EjgAdEy_i46jXgZRKpR4de5GtkXc-JyqBrDd3yzNc3njpxjZ0NN45R7C3udnSQSx4&amp;refId=FEYWEM%2BMCh2q%2FOXsqg9Hsg%3D%3D&amp;trackingId=TFU5Bg6%2B4xXF6QzQNuy10A%3D%3D&amp;keywords=product%20designer&amp;origin=JOB_SEARCH_PAGE_JOB_FILTER&amp;referralSearchId=3UXZO4Zvpbd%2BLxvWL%2Fmk1Q%3D%3D&amp;start=50&amp;f_TPR=r604800</t>
  </si>
  <si>
    <t>Green Flags: producto propio; research; Design Systems; UX/UI completo; accesibilidad; IA; colaboración multidisciplinar; inglés; foco en salud (alineado con tu interés personal); cultura de diseño muy madura; valoran perfiles generalistas; explícitamente dicen que no hay que cumplir el 100% de requisitos. Red Flags: piden 5+ años reales de Product Design; mentoring de otros diseñadores; liderazgo de producto; experiencia demostrable lanzando productos completos; competencia enorme (485 candidatos); cultura de alto rendimiento; entrevistas muy exigentes.</t>
  </si>
  <si>
    <t>Baja prioridad estratégica</t>
  </si>
  <si>
    <t>Impresión general: esta es probablemente la empresa más atractiva de todas las que has compartido junto con Amazon, pero también una de las más difíciles. La diferencia es que Alan parece valorar mucho más la capacidad de pensar producto que los años exactos. Tus puntos fuertes (research, accesibilidad, sistemas complejos, Design Systems, colaboración transversal y plataformas con usuarios reales) encajan bastante con su forma de trabajar. Sin embargo, ellos esperan una madurez de producto muy alta: ownership estratégico, visión, mentoring, influencia organizacional y experiencia lanzando productos de principio a fin. Encaje estimado: 7/10. No porque te falten habilidades UX/UI, sino porque probablemente competirías contra perfiles con 6-10 años en startups de producto SaaS o mobile. Aun así, si alguna Big Startup europea merece una candidatura aunque no cumplas todo, es esta.</t>
  </si>
  <si>
    <t>100% Remoto</t>
  </si>
  <si>
    <t>España / Alemania / Portugal / UK</t>
  </si>
  <si>
    <t>Product Design muy orientado a mobile B2C, discovery, research, hábitos, IA y ownership completo.</t>
  </si>
  <si>
    <t>Scale-up consolidada con millones de usuarios en 150+ países. Producto propio y maduro.</t>
  </si>
  <si>
    <t>🟡 Encaje parcial-alto. Muy atractivo, pero probablemente buscan un perfil más senior y más especializado en mobile B2C.</t>
  </si>
  <si>
    <t>App de nutrición y hábitos saludables con gran volumen de usuarios y producto centrado en comportamiento.</t>
  </si>
  <si>
    <t>Ownership, autonomía, impacto, experimentación, bienestar, cultura remota.</t>
  </si>
  <si>
    <t>Buscan alguien que lidere discovery, research, diseño móvil, experimentación y comunicación con stakeholders senior.</t>
  </si>
  <si>
    <t>100% remoto, 30 días vacaciones, presupuesto formación (1.000€), workations, cultura internacional.</t>
  </si>
  <si>
    <t>https://www.linkedin.com/jobs/search-results/?currentJobId=4426839635&amp;eBP=CwEAAAGe0tK5fbk4sSlVorSRKWWfO1Bxi4roZvJfKRQwOyj_K_qpnr9dy-WXPCY9kfcNw-Xu_qGyTMvAbaDyFh3wMpYyVxK5F4qvvA2otSXMN7G_CDFNgGD9AGfGvJfJIibqELPU-wRlNvMg7DfgyeLSMjI8UttAgPplkI9TmAESYhwYCCzzXAjeKIW_QZecUmcnwh-3xwoB0R8ZwmlP3uc-ucaEqAwFRyTVUAgtu12HseYfRYs_mshJ0pDDu3UvjctN7Ut2008E1UwEuBKhudETqXkeDy5Duxu3fNg50Z7SnkvAO2KQ-JdgYcyG8qozam2WOHtyPaMlqOqkyn6lQcUktqjAjIaG0ymUw_hmgM_OkJ8ifsvKCCNqAQg3LjKp-1-0TnYEdO49BHiQdoPNNuVpLNrdI0aWLaumXFQHXEx7NkKrQayNtP5VjKVEDXcYNY3Q3bpZAsPmHAe92UZCzux4_fD9YSEIqx8CQWBS2FwZkPDE&amp;refId=dQXmYKMwnkvctYy6sGNI0A%3D%3D&amp;trackingId=MRarwx7RFmWlajgQiK%2BzSA%3D%3D&amp;keywords=product+designer&amp;origin=JOB_SEARCH_PAGE_JOB_FILTER&amp;referralSearchId=EJNAQDW63LzTlILqvPZJtQ%3D%3D</t>
  </si>
  <si>
    <t>Green Flags: research; Maze (lo conoces); discovery; entrevistas; usabilidad; Design Systems; IA; autonomía; producto propio; remoto; inglés; foco en experiencia de usuario; cultura de diseño madura. Red Flags: fuerte orientación a B2C mobile; piden experiencia diseñando flujos principales de apps de consumo usadas diariamente; mucha profundidad en mobile nativo; hábitos, gamificación y comportamiento; perfil claramente senior; portfolio muy centrado en producto de consumo.</t>
  </si>
  <si>
    <t>No aplicada / Baja prioridad</t>
  </si>
  <si>
    <t>Impresión general: es una oferta muy buena, pero probablemente no es donde tu experiencia encaja mejor. Tus fortalezas están en plataformas complejas B2B, sistemas de diseño, accesibilidad, workflows y productos con lógica compleja. Ellos buscan alguien que haya vivido durante años problemas de engagement, retención, hábitos y optimización de experiencias móviles de consumo masivo. La parte de research, discovery, IA y Design Systems encaja muy bien contigo, pero la experiencia específica en mobile B2C y productos de hábitos es donde estarías en desventaja frente a otros candidatos. Encaje estimado: 6,5/10. No imposible, pero más difícil que SDG, Cuatroochenta, Omega CRM, Excelia o knowmad mood.</t>
  </si>
  <si>
    <t>UX Designer &amp; Researcher (Pharmaceutical Sector)</t>
  </si>
  <si>
    <t>Omega CRM, A Merkle Company</t>
  </si>
  <si>
    <t>~5 años</t>
  </si>
  <si>
    <t>UX/UI con fuerte peso en research, diseño de producto, Design Systems y colaboración internacional. Muy equilibrado entre investigación y ejecución.</t>
  </si>
  <si>
    <t>Consultora consolidada, parte de Merkle y Dentsu. Fuerte presencia en Salesforce, CX, datos y experiencia de cliente.</t>
  </si>
  <si>
    <t>🟢 Muy buen encaje. Una de las ofertas más alineadas con tu perfil actual.</t>
  </si>
  <si>
    <t>Consultoría internacional especializada en Customer Experience, Salesforce, datos, analítica y producto digital. Cliente final: farmacéutica global.</t>
  </si>
  <si>
    <t>Talento, flexibilidad, compromiso, innovación, crecimiento profesional.</t>
  </si>
  <si>
    <t>Buscan alguien capaz de realizar research, entrevistas, usabilidad, UX/UI, sistemas de diseño y colaboración con equipos internacionales en inglés.</t>
  </si>
  <si>
    <t>Remoto, seguro médico, formación, certificaciones, horario flexible.</t>
  </si>
  <si>
    <t>https://www.linkedin.com/jobs/search-results/?currentJobId=4428026861&amp;eBP=NOT_ELIGIBLE_FOR_CHARGING&amp;refId=dQXmYKMwnkvctYy6sGNI0A%3D%3D&amp;trackingId=GrzUjToQO%2Fas2DSKCXOH%2Fg%3D%3D&amp;keywords=product+designer&amp;origin=JOB_SEARCH_PAGE_JOB_FILTER&amp;referralSearchId=EJNAQDW63LzTlILqvPZJtQ%3D%3D</t>
  </si>
  <si>
    <t>Green Flags: research real; entrevistas con usuarios; pruebas de usabilidad; análisis de feedback; Design Systems; Figma avanzado; accesibilidad; responsive; Agile; inglés; documentación; colaboración con producto y desarrollo; entorno internacional; remoto. Encaja casi exactamente con tu experiencia en Oxford. Red Flags: piden alrededor de 5 años; consultoría (posible asignación a cliente); sector farmacéutico puede implicar más procesos y documentación; posible menor libertad creativa por regulación.</t>
  </si>
  <si>
    <t>Impresión general: probablemente una de las ofertas con mejor alineación funcional de todas las revisadas. No buscan frontend, growth, CRO ni perfiles híbridos raros. Buscan una persona que investigue, diseñe, documente, colabore y trabaje con Design Systems en un entorno internacional. La parte de pharma no requiere experiencia médica previa y parece más importante la capacidad de trabajar en entornos complejos y regulados. Tu experiencia en plataformas educativas complejas, accesibilidad, documentación, research, validación y trabajo transversal encaja muy bien. Además, el inglés y el trabajo con stakeholders internacionales son competencias transferibles. Encaje estimado: 9,5/10. Junto con Cuatroochenta, SDG, Excelia y knowmad mood, es de las oportunidades más coherentes con tu experiencia actual.</t>
  </si>
  <si>
    <t>UX/UI Designer &amp; Researcher</t>
  </si>
  <si>
    <t>knowmad mood</t>
  </si>
  <si>
    <t>UX/UI generalista con bastante peso en research, Design Systems, Figma y colaboración internacional.</t>
  </si>
  <si>
    <t>Consultora tecnológica grande (+3.000 personas) con presencia internacional y proyectos corporativos.</t>
  </si>
  <si>
    <t>🟢 Muy buen encaje. Probablemente una de las ofertas más alineadas con tu experiencia completa.</t>
  </si>
  <si>
    <t>Empresa de transformación digital, desarrollo tecnológico e innovación.</t>
  </si>
  <si>
    <t>Colaboración, innovación, compromiso, confianza, flexibilidad.</t>
  </si>
  <si>
    <t>Buscan alguien capaz de combinar research, UX, UI, sistemas de diseño y trabajo en inglés con equipos internacionales.</t>
  </si>
  <si>
    <t>100% remoto, certificaciones, formación, retribución flexible, estabilidad.</t>
  </si>
  <si>
    <t>https://www.linkedin.com/comm/jobs/view/4425631452?trackingId=&amp;refId=&amp;lipi=urn%3Ali%3Apage%3Aemail_email_jobs_application_rejected_01%3BvK0Hpkz6R%2BupYOPL0DXl9g%3D%3D&amp;midToken=AQHgMw6gCNcb2Q&amp;midSig=1i6Vo7uJ7BdIk1&amp;trk=eml-email_jobs_application_rejected_01-applied_jobs-0-applied_job&amp;trkEmail=eml-email_jobs_application_rejected_01-applied_jobs-0-applied_job-null-dnyviv~mqovakrg~5w-null-null&amp;eid=dnyviv-mqovakrg-5w&amp;otpToken=MWEwNzE4ZTMxMzI2Y2ZjNWIxMjQwNGVkNGUxY2U2YjU4ZWM5ZDA0MTllYWE4ZjYxNmNjNjAwNmI0ZjVjNWNmYmY1ZDBkMGU5MTdjMmIxZDI0NDg0ZDM4MzkzMDgwZDkyYjk1NmJhNDgyZDE2NTllMjJjZWQxNzcxLDEsMQ%3D%3D</t>
  </si>
  <si>
    <t>Green Flags: research real; entrevistas y usabilidad; Design Systems; Figma avanzado; accesibilidad; responsive; trabajo internacional; inglés; Agile; portfolio orientado a proceso; remoto completo. La descripción encaja muy bien con Oxford. Red Flags: piden ~5 años; consultoría (posibles cambios de cliente); descripción bastante amplia y genérica; posible participación en varios proyectos simultáneos.</t>
  </si>
  <si>
    <t>Impresión general: de todas las consultoras analizadas, esta es probablemente una de las que mejor recoge tu combinación de habilidades. No buscan una especialista en frontend, CRO o growth. Buscan exactamente una persona capaz de investigar, diseñar flujos, construir interfaces, mantener sistemas de diseño y colaborar con negocio y desarrollo. Además, valoran mucho la capacidad de explicar decisiones de diseño y trabajar en inglés, algo que puede jugar a tu favor. La exigencia de "5 años" parece más una referencia de seniority que un requisito rígido, porque el resto de competencias encajan bastante con tu experiencia en Oxford. Encaje estimado: 9/10. Junto con Cuatroochenta, SDG y Hiberus, es una de las ofertas más coherentes con tu perfil actual.</t>
  </si>
  <si>
    <t>SDG Group</t>
  </si>
  <si>
    <t>Remoto (o híbrido según ubicación)</t>
  </si>
  <si>
    <t>España (Madrid, Barcelona, Valencia, Logroño, Santiago o remoto)</t>
  </si>
  <si>
    <t>UX/UI con muchísimo peso en diseño de interfaces complejas, Design Systems, B2B, handoff y trabajo con requisitos ambiguos. Muy orientado a ejecución de calidad.</t>
  </si>
  <si>
    <t>Consultora global especializada exclusivamente en Data, Analytics e IA. Más de 2.000 empleados y clientes IBEX35 y Fortune 500.</t>
  </si>
  <si>
    <t>🟢 Muy buen encaje funcional. 🔴 Barrera principal: los 5 años exigidos.</t>
  </si>
  <si>
    <t>Consultoría especializada en datos, analítica avanzada e IA. Foco en proyectos corporativos complejos y transformación digital.</t>
  </si>
  <si>
    <t>Meritocracia, especialización, excelencia técnica, formación continua, crecimiento profesional.</t>
  </si>
  <si>
    <t>Buscan alguien muy sólido en UI, Design Systems, handoff, documentación, colaboración con negocio y diseño de herramientas complejas.</t>
  </si>
  <si>
    <t>Remoto, formación, certificaciones, seguro médico, revisiones salariales periódicas, plan de carrera.</t>
  </si>
  <si>
    <t>Green Flags: B2B complejo; dashboards; tablas densas; formularios; permisos; Design Systems; Figma avanzado; accesibilidad; handoff; trabajo con requisitos ambiguos; colaboración negocio-desarrollo; HTML/CSS solo valorable; remoto real; inglés conversacional. Todo esto encaja muchísimo con Oxford. Red Flags: exigen +5 años; fuerte foco en UI (más de lo habitual); varios proyectos simultáneos; consultoría; posible ritmo alto de entrega; menos peso en research que en ejecución.</t>
  </si>
  <si>
    <t>Impresión general: probablemente una de las ofertas que mejor encajan con tu experiencia real aunque formalmente pidan más años. Lo que describen se parece bastante a lo que has estado haciendo: plataformas complejas, workflows, Design Systems, accesibilidad, documentación, alineación con desarrollo, gestión de ambigüedad y productos B2B. Además, valoran explícitamente experiencia en herramientas de análisis de datos, dashboards y sistemas complejos, algo mucho más cercano a Oxford Premium que la mayoría de ofertas generalistas. La parte de IA es contextual (la empresa trabaja en IA), pero no buscan un diseñador especializado en IA. Encaje estimado: 9/10. Si consigues superar el filtro de los 5 años, es probablemente una de las oportunidades más alineadas con tus fortalezas actuales.</t>
  </si>
  <si>
    <t>Madrid (presumiblemente)</t>
  </si>
  <si>
    <t>No especificada (estimación 2-5 años)</t>
  </si>
  <si>
    <t>UX/UI bastante clásico y equilibrado. Mezcla research, diseño visual, prototipado, Design Systems y colaboración con desarrollo.</t>
  </si>
  <si>
    <t>Consultora multinacional con presencia internacional y más de 20 años de recorrido.</t>
  </si>
  <si>
    <t>🟢 Muy buen encaje. Probablemente una de las ofertas más alineadas con tu experiencia actual.</t>
  </si>
  <si>
    <t>Consultoría tecnológica, transformación digital, desarrollo software y servicios profesionales en más de 50 países.</t>
  </si>
  <si>
    <t>Calidad de producto, colaboración, crecimiento profesional, orientación al usuario.</t>
  </si>
  <si>
    <t>Buscan una persona capaz de cubrir UX y UI de forma integral, participar en discovery, validación, Design Systems y trabajo con equipos ágiles.</t>
  </si>
  <si>
    <t>Retribución flexible, proyectos complejos, crecimiento profesional.</t>
  </si>
  <si>
    <t>Green Flags: Design Systems; research; entrevistas; usabilidad; handoff; colaboración con producto y desarrollo; accesibilidad valorada; experiencia en sistemas complejos valorada (encaja muy bien con Oxford); analytics valorado; no piden frontend ni programación. Red Flags: descripción muy genérica; cliente final desconocido; consultoría (posible cambio frecuente de proyecto); no indican salario; difícil saber el nivel real del puesto.</t>
  </si>
  <si>
    <t>Impresión general: probablemente una de las ofertas que mejor reflejan lo que realmente has hecho en Oxford. La descripción coincide casi punto por punto con tu experiencia: plataformas complejas, workflows, Design Systems, research, documentación, accesibilidad, validación y trabajo transversal con desarrollo. Además, los "deseables" (WCAG, sistemas complejos, analytics) juegan especialmente a tu favor. No parece una posición inflada de seniority ni tampoco una vacante centrada en frontend o growth. Encaje estimado: 9/10. Si el cliente final es interesante, podría ser una de las opciones más naturales y coherentes con tu trayectoria.</t>
  </si>
  <si>
    <t>Product UX/UI Designer (Design Engineer)</t>
  </si>
  <si>
    <t>Performanze</t>
  </si>
  <si>
    <t>4 años</t>
  </si>
  <si>
    <t>No es realmente un Product Designer tradicional. Es un perfil híbrido entre Product Designer, Frontend UI Engineer, CRO y Growth.</t>
  </si>
  <si>
    <t>Empresa orientada a validación, crecimiento y optimización de negocios digitales. Parte del grupo Subdiagonal.</t>
  </si>
  <si>
    <t>🔴 Encaje parcial. Muy fuerte en UX, Design Systems y accesibilidad. Débil en React, Next.js, Tailwind, TypeScript y Design-to-Code.</t>
  </si>
  <si>
    <t>Solución digital para startups, scaleups y empresas enfocada en rendimiento, validación y crecimiento digital.</t>
  </si>
  <si>
    <t>Innovación, velocidad, producto, emprendimiento, crecimiento continuo.</t>
  </si>
  <si>
    <t>Buscan una persona capaz de diseñar y además implementar componentes, colaborar con PR reviews, gestionar Storybook, GTM, GA4 y participar en experimentación.</t>
  </si>
  <si>
    <t>Horario flexible, viernes intensivos, formación, ecosistema startup.</t>
  </si>
  <si>
    <t>https://careers.workflex.com/jobs/5091942-senior-ui-ux-designer</t>
  </si>
  <si>
    <t>Green Flags: Design Systems; accesibilidad; UX end-to-end; producto digital; discovery; Figma avanzado; IA; ownership; portfolio basado en impacto; colaboración con ingeniería. Red Flags: React/Next.js/Tailwind son requisitos reales, no complementarios; piden HTML/ARIA, CSS y JS/TS sólidos; Storybook; revisión de PRs; GTM/GA4; SEO técnico; growth. La descripción se parece más a un Design Engineer que a un Product Designer. Además, la antigüedad media de 1,4 años y la reducción del 50% en el área de diseño llaman la atención.</t>
  </si>
  <si>
    <t>Impresión general: probablemente es la oferta más engañosa en el título de todas las analizadas. Parece una vacante de Product Designer, pero el contenido describe un perfil híbrido diseño-desarrollo muy cercano a un Design Engineer o Frontend Product Designer. Tu experiencia en UX, accesibilidad, research, documentación y sistemas de diseño encaja bien, pero la parte técnica (React, Next.js, TypeScript, Storybook, revisión de PRs) es un gap importante. Si buscan realmente el perfil que describen, competirás contra diseñadores que programan habitualmente. Si valoran más producto que código, puedes resultar interesante por tu experiencia en plataformas complejas. Encaje estimado: 5,5/10. De las ofertas revisadas, es una de las que menos se ajusta a tu experiencia real pese a que el título parezca atractivo.</t>
  </si>
  <si>
    <t>UX Designer, EU INTech</t>
  </si>
  <si>
    <r>
      <rPr>
        <color rgb="FF1155CC"/>
        <u/>
      </rPr>
      <t>Amazon Careers</t>
    </r>
  </si>
  <si>
    <t>No especificado (probablemente híbrido)</t>
  </si>
  <si>
    <t>No especificado (estimación 55k-80k+)</t>
  </si>
  <si>
    <t>UX puro de producto, centrado en problemas complejos, sistemas escalables, datos y colaboración con producto e ingeniería.</t>
  </si>
  <si>
    <t>Big Tech consolidada con procesos maduros, gran escala y fuerte cultura de ownership.</t>
  </si>
  <si>
    <t>🟡 Encaje medio-alto. Muy alineada en complejidad y producto, pero compites contra perfiles con más años y experiencia Big Tech.</t>
  </si>
  <si>
    <t>Equipo EU International Technology. Diseña experiencias para millones de usuarios y operaciones internacionales de Amazon.</t>
  </si>
  <si>
    <t>Customer obsession, ownership, simplificación, escalabilidad, toma de decisiones basada en datos.</t>
  </si>
  <si>
    <t>Buscan UX Designer con capacidad para trabajar end-to-end, sistemas complejos, stakeholders múltiples y pensamiento sistémico.</t>
  </si>
  <si>
    <t>Marca potente, aprendizaje enorme, impacto global, crecimiento profesional.</t>
  </si>
  <si>
    <t>Green Flags: producto complejo; pensamiento sistémico; UX end-to-end; colaboración con research; trabajo basado en datos; escalabilidad; impacto real; experiencia B2B compleja de Oxford puede transferirse bien; portfolio y proceso pesan mucho. Red Flags: exigen 5+ años; procesos de selección muy exigentes; fuerte competencia; cultura de alta exigencia; expectativas elevadas de comunicación y presentación ante liderazgo.</t>
  </si>
  <si>
    <t>Impresión general: esta oferta encaja mejor de lo que parece a primera vista. Aunque no tienes los 5 años que piden, gran parte de tu experiencia en plataformas complejas, workflows, Design Systems, accesibilidad, research y colaboración transversal se acerca bastante al tipo de problemas que describen. Curiosamente, la oferta habla mucho menos de UI visual y mucho más de pensamiento de producto, sistemas y resolución de problemas complejos. Donde podrías estar por debajo es en años de experiencia, exposición a producto a gran escala y presentación ante liderazgo senior. Donde puedes destacar es en diseño de sistemas complejos, investigación y capacidad de estructurar información. Encaje estimado: 7,5/10. Difícil por competencia y requisitos formales, pero más realista de lo que parece si el portfolio comunica bien complejidad, impacto y toma de decisiones.</t>
  </si>
  <si>
    <t>Senior UI/UX Designer</t>
  </si>
  <si>
    <r>
      <rPr>
        <color rgb="FF1155CC"/>
        <u/>
      </rPr>
      <t>WorkFlex</t>
    </r>
  </si>
  <si>
    <t>Remoto 100%</t>
  </si>
  <si>
    <t>Europa (remote)</t>
  </si>
  <si>
    <t>No indicado (probablemente 55k-75k€ + VSOP)</t>
  </si>
  <si>
    <t>SaaS B2B complejo con ownership real, Design Systems, research, UX, UI y producto. Muy alineado con Product Design moderno.</t>
  </si>
  <si>
    <t>Startup HR Tech alemana en fuerte crecimiento, respaldada por clientes relevantes y financiación VC.</t>
  </si>
  <si>
    <t>🟢 Muy buen encaje funcional. 🔴 Posible barrera por años de experiencia y frontend.</t>
  </si>
  <si>
    <t>Plataforma SaaS para compliance internacional, movilidad global, workations y expatriación. Más de 100.000 viajes procesados al año y 500+ clientes.</t>
  </si>
  <si>
    <t>Autonomía, meritocracia, trabajo remoto, crecimiento, innovación, ownership.</t>
  </si>
  <si>
    <t>Buscan diseñador senior capaz de trabajar end-to-end: research, flows, diseño visual, Design Systems, colaboración con producto e ingeniería e incorporación de IA.</t>
  </si>
  <si>
    <t>VSOPs, 200€/mes para coworking o deporte, workations hasta 183 días, remoto total.</t>
  </si>
  <si>
    <t>https://www.linkedin.com/jobs/view/4423641390/?trk=eml-email_jobs_application_rejected_01-applied_jobs-0-applied_job</t>
  </si>
  <si>
    <t>Green Flags: SaaS B2B (muy alineado con Oxford); Design Systems; Figma avanzado; accesibilidad; research; ownership; IA aplicada; remoto 100%; producto propio; colaboración directa con PMs e ingeniería; inglés como idioma de trabajo; crecimiento profesional real. Red Flags: piden 5+ años; conocimiento de CSS frameworks y colaboración con Angular; startup de alto crecimiento (más exigencia y ambigüedad); cultura muy orientada a resultados; posible competencia internacional fuerte.</t>
  </si>
  <si>
    <t>No aplicada / En revisión</t>
  </si>
  <si>
    <t>Impresión general: esta oferta está sorprendentemente alineada con muchas de tus fortalezas. Más que buscar una especialista visual o una CRO, buscan una persona capaz de diseñar productos SaaS complejos, mantener Design Systems, colaborar con producto y desarrollo y aportar criterio UX. Tu experiencia en Oxford con plataformas B2B, sistemas de diseño, accesibilidad, workflows complejos y trabajo transversal encaja muy bien. Donde podrías quedar algo por debajo es en los 5+ años exigidos y en la parte técnica relacionada con Angular/CSS frameworks. La referencia a IA parece bastante razonable para tu perfil, ya que hablan de usar IA para research, ideación y personalización, no de construir modelos. Encaje estimado: 8,5/10. Posiblemente una de las ofertas internacionales más interesantes de las que has compartido. Si valorasen experiencia real por encima de años exactos, tendrías opciones.</t>
  </si>
  <si>
    <t>CRO Product Designer</t>
  </si>
  <si>
    <t>Santander Assurance Solutions, S.A.</t>
  </si>
  <si>
    <t>Rol muy especializado en CRO, experimentación, analítica y optimización de conversión. Más orientado a negocio y datos que a diseño de producto tradicional.</t>
  </si>
  <si>
    <t>Empresa aseguradora vinculada al ecosistema Santander. Crecimiento estable y foco en productos financieros y seguros.</t>
  </si>
  <si>
    <t>🟡 Encaje parcial. Muy fuerte en UX, research y diseño. Más débil en CRO avanzado, estadística y programas de experimentación maduros.</t>
  </si>
  <si>
    <t>Compañía de seguros con crecimiento sostenido y aumento reciente en Product Management.</t>
  </si>
  <si>
    <t>Estabilidad, crecimiento sostenible, orientación al cliente, entorno corporativo.</t>
  </si>
  <si>
    <t>Buscan alguien capaz de liderar experimentación, A/B testing, personalización, analítica y optimización continua basada en datos.</t>
  </si>
  <si>
    <t>Seguro médico, seguro de vida, comida, horario flexible, jornada intensiva, formación.</t>
  </si>
  <si>
    <t>https://www.linkedin.com/jobs/view/4429258394/?trk=eml-email_application_confirmation_with_nba_01-applied_jobs-0-jobcard_body_4429258394&amp;refId=46VHPqGKQKG8wqQUarVqFQ%3D%3D&amp;trackingId=New594M9SkmM2%2FRlYDEcHg%3D%3D</t>
  </si>
  <si>
    <t>Green Flags: UX Research, diseño basado en datos, colaboración con negocio, stakeholders complejos, Figma, experiencia digital, roadmap de optimización. Entorno probablemente estable y con recursos. Red Flags: piden +5 años específicos en CRO; A/B testing y multivariante parecen competencias centrales; requieren conocimientos de estadística aplicada; fuerte peso analítico; presencialidad; posible menor componente creativo o de diseño de producto end-to-end.</t>
  </si>
  <si>
    <t>Impresión general: la oferta está más cerca de un perfil CRO Specialist o Conversion Optimisation Lead que de un Product Designer tradicional. Aunque el nombre incluye "Designer", el núcleo del puesto es experimentar, medir, analizar y optimizar resultados de negocio. Tu experiencia en research, análisis de comportamiento, Maze, Hotjar, validación de flujos y mejora de experiencia aporta valor, pero probablemente competirías contra perfiles con varios años trabajando específicamente en CRO, funnels, testing estadístico y plataformas de optimización. Encaje estimado: 6,5/10. No parece una mala candidatura porque aportas una base UX sólida, pero no es la oferta que mejor representa tus fortalezas actuales ni la que más se parece a tu trayectoria en Oxford.</t>
  </si>
  <si>
    <t>Cuatroochenta</t>
  </si>
  <si>
    <t>Híbrido (1-2 días oficina)</t>
  </si>
  <si>
    <t>Castellón</t>
  </si>
  <si>
    <t>Product Design bastante equilibrado entre research, UX, UI, Design Systems, accesibilidad y colaboración con producto.</t>
  </si>
  <si>
    <t>Empresa tecnológica consolidada, cotizada en BME Growth, con más de 300 empleados y productos utilizados por millones de personas.</t>
  </si>
  <si>
    <t>🟢 Muy buen encaje. Posiblemente uno de los mejores ajustes entre experiencia requerida y experiencia aportada.</t>
  </si>
  <si>
    <t>Grupo tecnológico especializado en software, conocimiento especializado y ciberseguridad. Presencia internacional y crecimiento sostenido.</t>
  </si>
  <si>
    <t>Transparencia, colaboración, autonomía, confianza, crecimiento sostenible.</t>
  </si>
  <si>
    <t>Buscan Product Designer generalista con capacidad de participar en todo el ciclo de producto. Valoran SaaS, B2B, IA y accesibilidad.</t>
  </si>
  <si>
    <t>GPTW desde 2020, Best Workplaces Tech, formación continua, flexibilidad, retribución flexible.</t>
  </si>
  <si>
    <t>https://www.linkedin.com/jobs/search-results/?currentJobId=4429704133&amp;eBP=NOT_ELIGIBLE_FOR_CHARGING&amp;refId=dQXmYKMwnkvctYy6sGNI0A%3D%3D&amp;trackingId=Mz8nQN7O5C1Xl5%2FjWyNvaA%3D%3D&amp;keywords=product+designer&amp;origin=JOB_SEARCH_PAGE_JOB_FILTER&amp;referralSearchId=EJNAQDW63LzTlILqvPZJtQ%3D%3D</t>
  </si>
  <si>
    <t>Green Flags: piden exactamente 3 años; UX + UI + Product; Design Systems; accesibilidad; SaaS y B2B valorados (tu experiencia en Oxford encaja muy bien); hablan de discovery, validación y colaboración real con producto. Empresa estable y no excesivamente grande. Híbrido razonable. Red Flags: no especifican salario; posible dispersión de proyectos por ser grupo empresarial; parte del discurso corporativo puede ser marketing. Necesidad de desplazamiento periódico a Castellón.</t>
  </si>
  <si>
    <t>Impresión general: esta oferta parece mucho más alineada con tu trayectoria que muchas posiciones de Senior Product Designer. No buscan una especialista extrema ni una persona centrada únicamente en UI. Buscan exactamente alguien que pueda moverse entre research, flujos, validación, accesibilidad, Design Systems y colaboración con negocio y desarrollo. Tu experiencia en plataformas educativas complejas, sistemas de diseño, accesibilidad y entornos B2B encaja especialmente bien. Además, los plus que mencionan (SaaS, B2B e IA) juegan a tu favor. Encaje estimado: 9,5/10. De las ofertas analizadas hasta ahora, probablemente una de las más coherentes con tu experiencia real y con posibilidades de crecimiento sin exigirte un salto artificial de seniority.</t>
  </si>
  <si>
    <t>UX/UI Designer (IA)</t>
  </si>
  <si>
    <t>UX/UI bastante completo: research, interacción, visual, producto, Design Systems e IA aplicada. Más cercano a Product Design que otras consultoras.</t>
  </si>
  <si>
    <t>Empresa tecnológica grande (4.500+ personas) con fuerte crecimiento y múltiples áreas de especialización.</t>
  </si>
  <si>
    <t>🟢 Uno de los mejores encajes encontrados hasta ahora.</t>
  </si>
  <si>
    <t>Consultora tecnológica española con crecimiento muy fuerte, múltiples hubs y clientes de distintos sectores.</t>
  </si>
  <si>
    <t>Formación, crecimiento, innovación, especialización, cultura tecnológica.</t>
  </si>
  <si>
    <t>Buscan una persona con visión global UX/UI, experiencia en producto digital, Figma, Design Systems y capacidad para incorporar IA en experiencias digitales.</t>
  </si>
  <si>
    <t>Formación continua, horario flexible, verano intensivo, beneficios flexibles.</t>
  </si>
  <si>
    <t>https://www.linkedin.com/jobs/view/4415334498/</t>
  </si>
  <si>
    <t>Green Flags: piden exactamente +3 años; UX + UI + producto; Design Systems; research; testing; colaboración con desarrollo; interés en IA más que especialización profunda; encaja con tu experiencia en plataformas complejas. Red Flags: consultora (posible dependencia de cliente); presencialidad; descripción algo genérica; no indican salario; "ambiente familiar" y "somos una familia" suele ser marketing corporativo.</t>
  </si>
  <si>
    <t>Impresión general: la oferta parece escrita para alguien bastante parecido a tu perfil actual. No buscan un especialista puro en IA ni un visual designer, sino una persona capaz de moverse entre research, interacción, UI y producto. La parte de IA parece más relacionada con haber trabajado con copilots, automatizaciones o experiencias asistidas que con conocimientos técnicos de machine learning. Tu experiencia usando IA en workflows de diseño, exploración, documentación y producto probablemente sería suficiente. Encaje estimado: 9/10. Probablemente mejor alineada contigo que muchas ofertas de "Senior Product Designer" que estás viendo actualmente. Riesgo de infrautilización medio-bajo y posibilidades razonables de crecimiento.</t>
  </si>
  <si>
    <t>Consultor UX/UI</t>
  </si>
  <si>
    <t>Apiux Tech</t>
  </si>
  <si>
    <t>Híbrido (50% remoto)</t>
  </si>
  <si>
    <t>Rol bastante orientado a ejecución, soporte y análisis. Menos estratégico y con más tareas operativas que un Product Designer.</t>
  </si>
  <si>
    <t>Consultora tecnológica internacional con presencia en LATAM, EEUU y España. En expansión mediante adquisiciones.</t>
  </si>
  <si>
    <t>🟢 Alto encaje técnico para tu experiencia. 🔴 Riesgo de infrautilización en algunas áreas.</t>
  </si>
  <si>
    <t>Transformación digital, desarrollo software, IA, automatización, analítica y modernización tecnológica. Cliente final no especificado.</t>
  </si>
  <si>
    <t>Crecimiento, formación, comunidad tech, expansión internacional.</t>
  </si>
  <si>
    <t>Buscan alguien que ejecute wireframes, prototipos, testing, análisis de métricas, documentación y algo de frontend.</t>
  </si>
  <si>
    <t>Contrato indefinido, cumpleaños libre, formación, vacaciones extra por permanencia, posibles proyectos internacionales.</t>
  </si>
  <si>
    <t>Green Flags: piden 2+ años, encajas de sobra; UX research; prototipado; análisis; estabilidad; formación. Red Flags: mezcla UX/UI + SEO + frontend; cliente oculto; posible consultoría body-shopping; poca mención a estrategia de producto; salario sin indicar; "consultor" suele implicar menos ownership.</t>
  </si>
  <si>
    <t>Encaje estimado: 8/10. Probablemente por debajo de tu nivel actual en Design Systems, accesibilidad y definición estratégica. Buena opción para volver al mercado rápido, pero no parece el puesto con mayor crecimiento ni impacto en producto.</t>
  </si>
  <si>
    <t>Senior Designer, Digital Product (Mobile)</t>
  </si>
  <si>
    <t>Electrolux Group</t>
  </si>
  <si>
    <t>Híbrido (80% oficina)</t>
  </si>
  <si>
    <t>Estocolmo</t>
  </si>
  <si>
    <t>Product Design enfocado en experiencias móviles conectadas a dispositivos físicos (IoT y Smart Home).</t>
  </si>
  <si>
    <t>Multinacional consolidada con fuerte inversión en diseño, innovación y sostenibilidad.</t>
  </si>
  <si>
    <t>🟡 Encaje medio. Interesante por complejidad y producto, pero alejado de tu experiencia principal y ubicación complicada.</t>
  </si>
  <si>
    <t>Electrolux, AEG y Frigidaire. Productos para el hogar presentes en 120 mercados.</t>
  </si>
  <si>
    <t>Sostenibilidad, innovación, colaboración, diseño centrado en las personas.</t>
  </si>
  <si>
    <t>Buscan una Product Designer senior especializada en mobile, experiencias conectadas y ecosistemas físicos + digitales.</t>
  </si>
  <si>
    <t>Beneficios corporativos, formación, carrera internacional, instalaciones deportivas, descuentos.</t>
  </si>
  <si>
    <t>Green Flags: UX/UI end-to-end; research; accesibilidad; Design Systems; Figma; trabajo multidisciplinar; workshops; ambigüedad; IA; producto de consumo; ecosistema complejo; colaboración internacional; diseño basado en datos; ownership. Red Flags: 5+ años; fuerte foco mobile nativo; experiencia específica en apps de consumo; IoT y hardware conectado; experiencia en voice UX; 80% presencial en Estocolmo; inglés obligatorio; probablemente esperan experiencia previa en consumer products a gran escala.</t>
  </si>
  <si>
    <t>Impresión general: es una oferta interesante porque se parece más a un rol de Product Design clásico que a una consultoría. Sin embargo, buscan alguien con bastante recorrido en experiencias móviles de consumo y ecosistemas conectados (app + electrodoméstico + voz + hardware). Tu experiencia en plataformas complejas, accesibilidad, investigación y sistemas de diseño es transferible, pero el dominio específico (smart home, cocina conectada, IoT y mobile B2C) es donde estarías en desventaja frente a otros candidatos. Además, la exigencia de presencialidad en Estocolmo hace que sea poco realista salvo que estuvieras planteándote una reubicación. Encaje estimado: 6/10. Mejor que Bitpanda por afinidad metodológica, pero bastante menos alineada que Xe, Zooplus, Omega CRM, SDG o knowmad mood.</t>
  </si>
  <si>
    <t>Senior Product Designer – Auth0</t>
  </si>
  <si>
    <t>Okta</t>
  </si>
  <si>
    <t>57.000€ - 78.100€ + bonus + equity</t>
  </si>
  <si>
    <t>Product Design muy técnico, centrado en identidad digital, seguridad, IA y herramientas para desarrolladores.</t>
  </si>
  <si>
    <t>Una de las compañías líderes mundiales en identidad y autenticación.</t>
  </si>
  <si>
    <t>🟡 Encaje medio. Gran empresa y salario, pero buscan un perfil bastante más técnico de lo habitual.</t>
  </si>
  <si>
    <t>Auth0 desarrolla herramientas de autenticación, autorización e identidad para miles de empresas y desarrolladores.</t>
  </si>
  <si>
    <t>Excelencia, velocidad, ownership, innovación, IA, seguridad.</t>
  </si>
  <si>
    <t>Buscan un Product Designer con mucho criterio visual, capacidad de prototipar en código y experiencia diseñando herramientas para desarrolladores.</t>
  </si>
  <si>
    <t>Equity, bonus, seguro médico, onboarding global, crecimiento internacional.</t>
  </si>
  <si>
    <t>Green Flags: producto complejo; SaaS B2B; dashboards; sistemas complejos; Design Systems; Figma; colaboración estrecha con PM e ingeniería; IA; ambigüedad; ownership; problemas técnicamente interesantes; salario muy competitivo; empresa internacional; cultura de producto madura. Red Flags: 6+ años; diseño para desarrolladores; APIs, SDKs, CLIs; React y Next.js; diseño dentro del código; prototipado en navegador; experiencia real programando; Auth0 Emerging Products trabaja prácticamente como una startup dentro de Okta; nivel de craft visual muy alto; fuerte énfasis en IA aplicada al trabajo diario.</t>
  </si>
  <si>
    <t>Media prioridad</t>
  </si>
  <si>
    <t>Impresión general: metodológicamente encajas bastante mejor de lo que parece a primera vista. Has trabajado con plataformas B2B complejas, Design Systems, accesibilidad, workflows y colaboración transversal, que son precisamente las habilidades que suelen funcionar en productos para desarrolladores. Sin embargo, esta oferta no busca únicamente una Product Designer senior, sino alguien que se mueva cómodamente entre diseño y código, que entienda el lenguaje de los desarrolladores y que prototipe directamente en React o Next.js cuando sea necesario. Ahí está el principal gap. Lo positivo es que la parte de identidad, permisos, dashboards y sistemas complejos es mucho más cercana a tu experiencia que fintech avanzada o trading. Encaje estimado: 7/10. Más difícil que Xe, Heymondo o Zooplus, pero bastante más realista que Bitpanda o algunos puestos senior de Amazon. Si alguna empresa puede valorar tu capacidad para aprender dominios complejos rápidamente, es una como Okta.</t>
  </si>
  <si>
    <t>He hablado con Dan Maharry y Lucía León</t>
  </si>
  <si>
    <t>Pillar</t>
  </si>
  <si>
    <t>30.000€–60.000€ + stock options</t>
  </si>
  <si>
    <t>Product Design end-to-end en una scaleup de construcción impulsada por IA. Mucho ownership y velocidad.</t>
  </si>
  <si>
    <t>Startup italiana con crecimiento extremadamente rápido (3,2M€ pre-seed → 12M€ seed).</t>
  </si>
  <si>
    <t>🟡 Encaje medio-alto. Metodológicamente encajas bien, pero hay un requisito difícil.</t>
  </si>
  <si>
    <t>SaaS para digitalizar y modernizar procesos del sector construcción mediante IA.</t>
  </si>
  <si>
    <t>Ownership, autonomía, velocidad, mentalidad AI-first, ejecución.</t>
  </si>
  <si>
    <t>Product Designer capaz de llevar proyectos completos, trabajar con datos, Design Systems y colaborar estrechamente con producto y desarrollo.</t>
  </si>
  <si>
    <t>Stock options, impacto directo, equipo pequeño, crecimiento rápido.</t>
  </si>
  <si>
    <t>Green Flags: Product Design puro; Figma avanzado; Design Systems escalables; autonomía; ownership; colaboración transversal; trabajo con datos cualitativos y cuantitativos; producto B2B complejo; startup en crecimiento; salario potencialmente interesante; IA integrada en producto; cultura de ejecución. Red Flags: piden experiencia previa en una scaleup que haya pasado de 0 → 10M€ ARR; presencial Barcelona; entorno muy caótico y poco estructurado; esperan autonomía total; valoran React/Next.js; startup de alta intensidad; tenure media de solo 0,7 años.</t>
  </si>
  <si>
    <t>Prioridad media</t>
  </si>
  <si>
    <t>Impresión general: Esta oferta encaja bastante mejor contigo de lo que parece a primera vista. La parte de UX, Design Systems, investigación, colaboración con desarrollo y trabajo en entornos ambiguos está alineada con lo que has hecho tanto en Plytix como en Oxford. De hecho, tu experiencia ayudando a construir la función de UX en Plytix es probablemente lo más parecido a lo que buscan en cuanto a autonomía y creación de procesos. El principal problema es el requisito explícito de haber trabajado en una scaleup durante la fase de crecimiento 0 → 10M€ ARR, porque es una señal de madurez startup que tú no puedes demostrar de forma literal. Aun así, si valoran potencial y capacidad de asumir responsabilidad, tienes argumentos sólidos. Encaje estimado: 7,5/10. Más realista que Auth0, Bitpanda o Glovo; menos encaje que Heymondo o Xe por la exigencia startup y la presencialidad en Barcelona.</t>
  </si>
  <si>
    <t>Senior Product Designer (Freelance)</t>
  </si>
  <si>
    <t>Shakers (cliente IA)</t>
  </si>
  <si>
    <t>Muy buen encaje. Mucho discovery, IA, diseño de producto de principio a fin, Design System desde cero y trabajo directo con founders.</t>
  </si>
  <si>
    <t>Startup de IA en pleno crecimiento. Producto AI-native con mucha autonomía y capacidad de influencia.</t>
  </si>
  <si>
    <t>⭐⭐⭐⭐⭐</t>
  </si>
  <si>
    <t>Empresa centrada en construir un producto B2B/SaaS basado en IA. Trabajo junto a ingeniería (NextJS, Tailwind) y founders. Sistema de diseño desde cero.</t>
  </si>
  <si>
    <t>Ownership, innovación, colaboración directa, rapidez, producto, IA, experimentación.</t>
  </si>
  <si>
    <t>Discovery, Research, UX/UI, Product Design, Design Systems, Figma, IA, inglés fluido, B2B/SaaS.</t>
  </si>
  <si>
    <t>Contrato freelance 12 meses + extensión, full-time. Uso de IA para prototipado valorable.</t>
  </si>
  <si>
    <t>https://www.linkedin.com/jobs/view/4423666238/?trk=eml-email_application_confirmation_with_nba_01-applied_jobs-0-jobcard_body_4423666238&amp;refId=r9%2ByItWmSRWgxxrtWp3VHQ%3D%3D&amp;trackingId=u9IuFYNhSdW4dGM6zeEkqg%3D%3D</t>
  </si>
  <si>
    <t>Diseñar producto completo, flujos de IA y construir el Design System desde cero.</t>
  </si>
  <si>
    <t>Webel</t>
  </si>
  <si>
    <t>Muy interesante si buscas startup de producto con impacto rápido y crecimiento.</t>
  </si>
  <si>
    <t>Scale-up española con mucho crecimiento y producto consolidado.</t>
  </si>
  <si>
    <t>⭐⭐⭐⭐☆</t>
  </si>
  <si>
    <t>App de servicios a domicilio con +1,5 M usuarios, +2 M descargas, +20 M€ transaccionados/año, +7 M€ financiación, Top 5 App Store Lifestyle.</t>
  </si>
  <si>
    <t>Ambición, aprendizaje, detalle, pasión por producto, crecimiento.</t>
  </si>
  <si>
    <t>Product Design, Figma, usabilidad, atención al detalle, mentalidad startup.</t>
  </si>
  <si>
    <t>Hipercrecimiento (+200 % anual).</t>
  </si>
  <si>
    <t>https://www.linkedin.com/jobs/view/4431700624/?trk=eml-email_application_confirmation_with_nba_01-applied_jobs-0-jobcard_body_4431700624&amp;refId=Jtw5ibntQgumDM8bOFjgUQ%3D%3D&amp;trackingId=TIauXjlrQNyds%2FLG9mPRJw%3D%3D</t>
  </si>
  <si>
    <t>Producto digital con fuerte escalabilidad y crecimiento.</t>
  </si>
  <si>
    <t>PrimeIT</t>
  </si>
  <si>
    <t>Buen encaje por UX/UI, validación con usuarios y mantenimiento del Design System.</t>
  </si>
  <si>
    <t>Consultora tecnológica internacional con proyectos grandes y presencia global.</t>
  </si>
  <si>
    <t>Consultoría e ingeniería informática con más de 2.500 empleados, presencia en España, Portugal, Francia, Reino Unido, Italia, Suiza, Polonia y Brasil.</t>
  </si>
  <si>
    <t>Crecimiento, cambio, motivación, internacionalización.</t>
  </si>
  <si>
    <t>UX/UI, User Flows, IA, Wireframing, validación con usuarios, Design System, inglés.</t>
  </si>
  <si>
    <t>Más de 50 ciudades. Gestión de calidad tras desarrollo.</t>
  </si>
  <si>
    <t>Producto + consultoría con foco en UX y sistemas de diseño.</t>
  </si>
  <si>
    <t>Diseñador/a de Producto y Packaging</t>
  </si>
  <si>
    <t>Sevilla</t>
  </si>
  <si>
    <t>Poco alineado contigo. Mucho packaging, branding y producto físico.</t>
  </si>
  <si>
    <t>Empresa de gran consumo (golosinas y complementos alimenticios).</t>
  </si>
  <si>
    <t>⭐⭐☆☆☆</t>
  </si>
  <si>
    <t>Desarrollo de nuevos productos, packaging, etiquetado, mockups, fotografía de producto, stands y coordinación con proveedores.</t>
  </si>
  <si>
    <t>Creatividad, organización, orientación a mercado.</t>
  </si>
  <si>
    <t>Packaging, Illustrator, Photoshop, InDesign, producto físico, inglés B1.</t>
  </si>
  <si>
    <t>Requiere residencia en Sevilla.</t>
  </si>
  <si>
    <t>https://www.linkedin.com/jobs/view/4431677372/?trk=eml-email_application_confirmation_with_nba_01-applied_jobs-0-jobcard_body_4431677372&amp;refId=4s2l8kNKS0KupXg5%2BBP%2FBQ%3D%3D&amp;trackingId=FIPFwt8YS7WcLE%2BqbCHYdg%3D%3D</t>
  </si>
  <si>
    <t>Diseño aplicado a gran consumo, no a producto digital.</t>
  </si>
  <si>
    <t>(Global SaaS Payroll Platform)</t>
  </si>
  <si>
    <t>Enterprise UX</t>
  </si>
  <si>
    <t>475 €/día</t>
  </si>
  <si>
    <t>Muy buen encaje si buscas enterprise B2B complejo y modernización de plataformas legacy.</t>
  </si>
  <si>
    <t>Programa internacional con alcance global y mucho impacto.</t>
  </si>
  <si>
    <t>Proyecto para rediseñar una plataforma SaaS utilizada en más de 40 países, colaborando con España, Reino Unido, EE. UU. e India.</t>
  </si>
  <si>
    <t>Escalabilidad, colaboración internacional, modernización, producto.</t>
  </si>
  <si>
    <t>Enterprise UX, stakeholders, B2B SaaS, autonomía, influencia, legacy modernization.</t>
  </si>
  <si>
    <t>Contrato 6 meses, ampliable. Inicio ASAP.</t>
  </si>
  <si>
    <t>https://www.linkedin.com/jobs/view/4430552554/?trk=eml-email_application_confirmation_with_nba_01-applied_jobs-0-jobcard_body_4430552554&amp;refId=rLDcU3d9RRqDvpZkKlaIJQ%3D%3D&amp;trackingId=8sfm2lOcTO%2B4te3UdhjjoA%3D%3D</t>
  </si>
  <si>
    <t>Liderar el rediseño UX de una plataforma SaaS global.</t>
  </si>
  <si>
    <t>Ink</t>
  </si>
  <si>
    <t>6.000 €/mes</t>
  </si>
  <si>
    <t>De las ofertas más potentes. Muchísima autonomía, IA y creación de producto desde cero.</t>
  </si>
  <si>
    <t>Startup de IA recién financiada por Silicon Valley.</t>
  </si>
  <si>
    <t>Empresa de IA que desarrolla un motor de coordinación basado en LLMs para equipos. Producto completamente nuevo.</t>
  </si>
  <si>
    <t>Ownership, innovación, velocidad, colaboración con founders.</t>
  </si>
  <si>
    <t>Product Design, IA, sistemas complejos, producto 0→1.</t>
  </si>
  <si>
    <t>Temporal (90 días), incorporación inmediata.</t>
  </si>
  <si>
    <t>https://www.linkedin.com/jobs/view/4433313073/?trk=eml-email_application_confirmation_with_nba_01-applied_jobs-0-jobcard_body_4433313073&amp;refId=YyIeo%2FgpTYWHfWn9%2BMAjEA%3D%3D&amp;trackingId=%2FaTFPiA2Tf%2BELzkg7gI45Q%3D%3D</t>
  </si>
  <si>
    <t>Construcción de un producto AI-native desde cero con fuerte componente estratégico.</t>
  </si>
  <si>
    <t>UX Product Designer</t>
  </si>
  <si>
    <t>Rastreator</t>
  </si>
  <si>
    <t>De las mejores para tu perfil. Mucho UX, Research, CRO, autonomía y Design System.</t>
  </si>
  <si>
    <t>Empresa consolidada con mentalidad de startup.</t>
  </si>
  <si>
    <t>Comparador líder en España (seguros, hipotecas, energía, telefonía...). Buscan mejorar la experiencia mediante UX, datos y CRO.</t>
  </si>
  <si>
    <t>Innovación, colaboración, ownership, crecimiento, calidad humana, igualdad de oportunidades.</t>
  </si>
  <si>
    <t>UX/Product Design, Research, IA, User Flows, Responsive, UX Writing (valorable), Figma avanzado, Auto Layout, Variables, Tokens, Libraries, Design Systems.</t>
  </si>
  <si>
    <t>Mucho foco en datos y optimización continua del producto.</t>
  </si>
  <si>
    <t>UX end-to-end + CRO + evolución del Design System.</t>
  </si>
  <si>
    <t>Senior UX/UI Designer (Producto Digital)</t>
  </si>
  <si>
    <t>Dogfy Diet</t>
  </si>
  <si>
    <t>Barcelona (Zona Franca)</t>
  </si>
  <si>
    <t>Muy buen encaje si buscas producto digital, web + app y colaboración estrecha con Producto. Algo más orientado a e-commerce y marketing que otras ofertas.</t>
  </si>
  <si>
    <t>Foodtech española en fuerte crecimiento internacional.</t>
  </si>
  <si>
    <t>Empresa fundada en 2019 dedicada a alimentación natural para perros. Opera en España, Italia, Francia y Alemania. Más de 65 M€ facturación (2025) y 500 empleados.</t>
  </si>
  <si>
    <t>Talento, crecimiento, colaboración, adaptación, innovación.</t>
  </si>
  <si>
    <t>UX/UI, Producto Digital, Responsive, Web/App, colaboración con Marketing y Producto.</t>
  </si>
  <si>
    <t>Reporta directamente al Director de Producto. Landing pages orientadas a conversión.</t>
  </si>
  <si>
    <t>Diseño de producto digital y optimización de experiencia en web y app.</t>
  </si>
  <si>
    <t>Hiberus</t>
  </si>
  <si>
    <t>Buena opción si buscas estabilidad y proyectos tecnológicos variados, aunque el enfoque es más consultoría que producto.</t>
  </si>
  <si>
    <t>Gran empresa tecnológica española con crecimiento muy fuerte.</t>
  </si>
  <si>
    <t>Más de 4.500 profesionales, 46 áreas de especialización y 35 hubs en Europa, Latinoamérica, EE. UU. y África.</t>
  </si>
  <si>
    <t>Aprendizaje continuo, innovación, colaboración, flexibilidad, hiperespecialización.</t>
  </si>
  <si>
    <t>UX/UI, tecnología, trabajo multidisciplinar, entorno IT.</t>
  </si>
  <si>
    <t>Empresa privada española con crecimiento exponencial los últimos años.</t>
  </si>
  <si>
    <t>Consultoría tecnológica con muchos proyectos y oportunidades de aprendizaje.</t>
  </si>
  <si>
    <t>Heymondo</t>
  </si>
  <si>
    <t>Muy buen encaje. Producto B2C, customer journeys, accesibilidad y Design System.</t>
  </si>
  <si>
    <t>Insurtech moderna centrada en experiencia de usuario y conversión.</t>
  </si>
  <si>
    <t>Empresa de seguros de viaje que diseña experiencias web y móvil enfocadas en facilitar la compra y gestión del seguro.</t>
  </si>
  <si>
    <t>Simplicidad, claridad, calidad, innovación, colaboración.</t>
  </si>
  <si>
    <t>Product Design, UX/UI, Responsive, Mobile, Research, Analytics, Usability Testing, Accessibility, Design Systems.</t>
  </si>
  <si>
    <t>Mucho trabajo con Marketing, Producto e Ingeniería. Optimización de funnels y onboarding.</t>
  </si>
  <si>
    <t>https://www.linkedin.com/jobs/view/4417631240/</t>
  </si>
  <si>
    <t>Producto digital orientado a conversión y customer experience.</t>
  </si>
  <si>
    <t>Senior Product Designer – Tracking Experience</t>
  </si>
  <si>
    <t>Muy buen puesto. Mucho discovery, mobile, research y ownership.</t>
  </si>
  <si>
    <t>App líder de nutrición con fuerte componente de producto y hábitos.</t>
  </si>
  <si>
    <t>Equipo responsable del core de la app (tracking, IA, hábitos diarios). El diseñador lidera discovery, research, diseño móvil y presentación a stakeholders senior.</t>
  </si>
  <si>
    <t>Ownership, curiosidad, investigación, producto, impacto.</t>
  </si>
  <si>
    <t>Senior Product Design, Mobile UX, Discovery, Research, Stakeholder Management.</t>
  </si>
  <si>
    <t>Solicitud rechazada posteriormente.</t>
  </si>
  <si>
    <t>https://www.linkedin.com/jobs/search-results/?currentJobId=4429704133&amp;eBP=NOT_ELIGIBLE_FOR_CHARGING&amp;refId=dQXmYKMwnkvctYy6sGNI0A%3D%3D&amp;trackingId=Mz8nQN7O5C1Xl5%2FjWyNvaA%3D%3D&amp;keywords=product%20designer&amp;origin=JOB_SEARCH_PAGE_JOB_FILTER&amp;referralSearchId=EJNAQDW63LzTlILqvPZJtQ%3D%3D</t>
  </si>
  <si>
    <t>Rechazo recibido por email.</t>
  </si>
  <si>
    <t>Producto móvil con mucho peso estratégico dentro de la empresa.</t>
  </si>
  <si>
    <t>Sinch</t>
  </si>
  <si>
    <t>Madrid (también Bélgica/Suecia)</t>
  </si>
  <si>
    <t>3.000–4.000 €/mes (España)</t>
  </si>
  <si>
    <t>Excelente encaje. IA conversacional, B2B SaaS complejo, estrategia, discovery y Design Systems.</t>
  </si>
  <si>
    <t>Multinacional de Customer Communications Cloud utilizada por más de 150.000 empresas (Google, Uber, PayPal, Visa, Tinder...).</t>
  </si>
  <si>
    <t>Plataforma global de comunicaciones omnicanal con fuerte apuesta por IA y experiencias conversacionales.</t>
  </si>
  <si>
    <t>Dream Big, Win Together, Keep it Simple, Make it Happen, igualdad de oportunidades.</t>
  </si>
  <si>
    <t>Product Design, UX Strategy, Discovery, Research, Conversational AI, LLMs, Figma experto, Design Systems, métricas de usabilidad, liderazgo.</t>
  </si>
  <si>
    <t>Salario España 3.000–4.000 €/mes. Sin reubicación. Solicitud rechazada posteriormente.</t>
  </si>
  <si>
    <t>Conversational AI, estrategia UX y diseño de plataformas B2B complejas.</t>
  </si>
  <si>
    <t>Product Designer – Customer Experience</t>
  </si>
  <si>
    <t>Factorial</t>
  </si>
  <si>
    <t>Muy buen encaje por ser producto B2B SaaS con foco en Customer Experience y Design System.</t>
  </si>
  <si>
    <t>Scale-up española de HR Tech en fuerte crecimiento internacional.</t>
  </si>
  <si>
    <t>Plataforma SaaS para RR. HH. orientada a digitalizar procesos empresariales. La candidatura quedó registrada por ATS.</t>
  </si>
  <si>
    <t>Producto, ownership, crecimiento, colaboración, innovación.</t>
  </si>
  <si>
    <t>Product Design, UX/UI, Customer Experience, SaaS.</t>
  </si>
  <si>
    <t>Solo aparece la confirmación de solicitud; no se incluye la descripción de la oferta en el PDF.</t>
  </si>
  <si>
    <t>Rechazada posteriormente.</t>
  </si>
  <si>
    <t>Oferta de Product Design en producto B2B de alto crecimiento.</t>
  </si>
  <si>
    <t>Codeway</t>
  </si>
  <si>
    <t>Hybrid · Full-time</t>
  </si>
  <si>
    <t>Product Designer con experiencia end-to-end, UX/UI, AI, experimentación, interacción, producto B2C y colaboración con Product, Data y ML Engineers.</t>
  </si>
  <si>
    <t>Buen encaje. El rol combina diseño de producto, IA, experimentación, interacción y ownership. El principal foco es crear experiencias de consumo masivo apoyadas en IA, con mucho peso en el diseño visual y la iteración rápida.</t>
  </si>
  <si>
    <t>Empresa de producto muy orientada a crecimiento, velocidad y alto rendimiento. Cultura exigente, muy enfocada en resultados, ownership y experimentación.</t>
  </si>
  <si>
    <t>Prioridad alta (8/10). Encaja bien por tu experiencia en UX/UI, Design Systems, investigación y trabajo en IA. El mayor punto débil es que buscan experiencia en productos B2C de gran escala (mobile, social, fotografía o consumo), mientras que tu experiencia es principalmente B2B SaaS.</t>
  </si>
  <si>
    <t>Codeway desarrolla aplicaciones móviles y web basadas en IA con más de 500 millones de descargas y más de 60 productos. Empresa rentable, sin inversión externa, con equipos en Barcelona e Estambul.</t>
  </si>
  <si>
    <t>Ownership, velocidad, experimentación, innovación, excelencia, autonomía, aprendizaje continuo, colaboración, impacto y mentalidad de producto.</t>
  </si>
  <si>
    <t>Product Designer con fuerte capacidad en UX/UI, interacción, prototipado, Design Systems, investigación, experimentación, IA y colaboración con equipos multidisciplinares.</t>
  </si>
  <si>
    <t>Seguro médico, presupuesto anual para formación, ayuda para comidas, apoyo psicológico, presupuesto deportivo, oficina en Barcelona y ayuda a la reubicación. Proceso: entrevista RRHH, Hiring Manager, caso práctico, entrevista técnica y oferta.</t>
  </si>
  <si>
    <t>https://www.linkedin.com/jobs/search-results/?currentJobId=4437413195&amp;eBP=CwEAAAGfPO18uo1iDMX9yh2bLBGLho_eQRfgohPvU4iQ6mzLj3JWykSVFWbaw1JrowUB_zWSfz1sCA9Uf9QRo-dvhrMSbx6gVgo_3hVdw3PH6pvDIoe0DLvicFL9EYqoCmoEyTOj9acIYZK0rt5eQvgI010JgY-jqfqcU0s9EptN8jP434y4weihcbOGs0WsQg2KJXJRKcYjL1p1q8BVWShi6enT2ShWUEIGOFhPUj86TrHb6pf7nO3xh-U3N5ZRomcolHxtEhLZ3CwXqDVija6JFRDXR2DGfBUfCaHuMmMVS3P3IW0Uiwn3Jc8SES3H1O7IFcsStslop62vGifX-KRsS6sD_clgd8PqweW56XKoSrvP4_xVpHyXUKVbquiQWpW8NZ2CxASTqUWYvAFUJMBZDWM8cwNmJCY9ghSq1sUpTvJR4i4HJJx56lBvM6ene8C-HtcPSOYtbFOr7zyBXHpHK6EJoChvXZxumyc&amp;refId=c0ofM11mwxooRCDDUCb2rQ%3D%3D&amp;trackingId=c7sFFQVZhzBBLlXfP65r7Q%3D%3D&amp;keywords=product%20Designer%20posted%20in%20the%20past%2024%20hours&amp;origin=SEMANTIC_SEARCH_HISTORY&amp;geoId=105646813&amp;distance=25</t>
  </si>
  <si>
    <t>Conviene enfatizar IA aplicada al workflow, prototipado rápido, interacción, Design Systems, investigación, accesibilidad y capacidad para simplificar flujos complejos. Si aplicas, adapta el portfolio hacia producto y no tanto hacia proyectos institucionales.</t>
  </si>
  <si>
    <t>Buen match, aunque menos fuerte que Fever o Pleo por la orientación a producto B2C móvil de gran escala. Sigue siendo una candidatura recomendable.</t>
  </si>
  <si>
    <t>Mid UX/UI Designer</t>
  </si>
  <si>
    <t>Kenos Technology</t>
  </si>
  <si>
    <t>Remote · Full-time</t>
  </si>
  <si>
    <t>3 años en UX/UI, diseño web y móvil, Figma, Design Systems, research, accesibilidad, Agile, Jira, Confluence, Miro y AI tools.</t>
  </si>
  <si>
    <t>Muy buen encaje. El rol combina diseño end-to-end, storytelling, Design Systems, investigación, accesibilidad y colaboración con desarrollo. Muy alineado con tu experiencia en Oxford.</t>
  </si>
  <si>
    <t>Consultora tecnológica especializada en proyectos para grandes clientes. El proyecto parece orientado al sector automoción premium, con foco en experiencia digital y producto.</t>
  </si>
  <si>
    <t>Prioridad alta (8.8/10). Cumples prácticamente todos los requisitos: Design Systems, UX/UI, investigación, accesibilidad, Figma, Jira, colaboración con ingeniería y metodologías Agile. El único punto menos fuerte es la experiencia específica en mobile nativo.</t>
  </si>
  <si>
    <t>Kenos Technology desarrolla soluciones digitales para grandes empresas, trabajando en proyectos de transformación digital, producto y experiencia de usuario para diferentes sectores.</t>
  </si>
  <si>
    <t>Colaboración, calidad, innovación, aprendizaje continuo, accesibilidad, trabajo en equipo, orientación al usuario y mejora continua.</t>
  </si>
  <si>
    <t>UX/UI Designer con experiencia en diseño de plataformas complejas, Design Systems, investigación, arquitectura de información, prototipado, accesibilidad, colaboración multidisciplinar y entrega end-to-end.</t>
  </si>
  <si>
    <t>Contrato indefinido, remoto en España, seguro médico, formación continua, compensación flexible, apoyo psicológico y bonus por referidos.</t>
  </si>
  <si>
    <t>https://www.linkedin.com/jobs/search-results/?currentJobId=4433932922&amp;eBP=CwEAAAGfPPfs9kyV5pYbAJ8e6voeYVrYgg14Dy56dyA6IRQWDqt3nTiRJ5O5pvKEGgTFExYQOicO5Cf2McV81yZyppw9mkFpVp85DZvjW8tYJtf3w3-AQ1fmEq9WRBebKS5uWmHUIlwOLUw-f8lKAV0B3WfLyyy8bqQEKsnqMiX5uHRsX6jSd3E3U7XGyZPD2YH-ct5l8rlbnQ8n9q2D0Sv-02sj2pRXky2TfygEw18vR_XgmGRKZyshlMwiNH5uD6BwEalkXmUjxKA2ktgTkTWtUpIksnEKqFGsKhlnugzPOM84tWkmrl9ByAW5a55Bzy47hkSdzjNbplFbKDzyEPPcaH0SdQWPguSgs9OVaLbt8x17Z958SVLkNd2EyzymXM5fMxZfJjogqSVYwARxmyUBVmzbaN7-GwA62IDpJXHxooaZds3l__RGfvKIAozdtVgt9BwFeCEA4qJPhgvoJM7U1ok8m2eFIA&amp;refId=gqWpkfQJH%2F17koWETP4aAA%3D%3D&amp;trackingId=o%2Bet5G3U0FcSkqOk0BovbA%3D%3D&amp;keywords=product%20Designer%20posted%20in%20the%20past%202%20days&amp;origin=SEMANTIC_SEARCH_LANDING_PAGE</t>
  </si>
  <si>
    <t>Destaca en el CV el trabajo en plataformas B2B, Design System, accesibilidad WCAG, investigación con usuarios, Figma, Jira, prototipado, documentación y colaboración estrecha con desarrollo. También menciona tu experiencia con IA y herramientas como GitHub si aparece en el portfolio.</t>
  </si>
  <si>
    <t>he hablado con Cristina Ibern Aguilar</t>
  </si>
  <si>
    <t>Match muy alto. Aunque el título sea "Mid", por requisitos encajas perfectamente y tu experiencia puede aportar un perfil más senior sin parecer sobrecualificada.</t>
  </si>
  <si>
    <t>Spin.AI</t>
  </si>
  <si>
    <t>Málaga (España)</t>
  </si>
  <si>
    <t>UX/UI, Product Design, SaaS, dashboards, Design Systems, Figma, IA, responsive design, prototipado y colaboración con Product &amp; Engineering.</t>
  </si>
  <si>
    <t>Muy buen encaje. El puesto se centra en diseñar un SaaS B2B complejo con dashboards, IA, Design Systems y flujos empresariales, muy alineado con tu experiencia en Oxford.</t>
  </si>
  <si>
    <t>Empresa de ciberseguridad SaaS en crecimiento, especializada en protección de datos cloud. Cultura técnica, orientada a producto, autonomía e innovación.</t>
  </si>
  <si>
    <t>Prioridad alta (9/10). Cumples prácticamente todos los requisitos: plataformas complejas, Design Systems, UX/UI, investigación, IA, Figma y colaboración con ingeniería. Además, tu experiencia en entornos B2B encaja mejor que en muchas ofertas orientadas a consumo.</t>
  </si>
  <si>
    <t>Spin.AI desarrolla SpinOne, una plataforma SaaS de ciberseguridad que protege Google Workspace, Microsoft 365, Salesforce, Slack y otros servicios cloud frente a ransomware, pérdida de datos y amenazas de seguridad.</t>
  </si>
  <si>
    <t>Innovación, autonomía, colaboración, orientación al producto, calidad, aprendizaje continuo, IA, seguridad y mejora continua.</t>
  </si>
  <si>
    <t>UX/UI Designer con experiencia en plataformas B2B, Design Systems, dashboards, investigación, accesibilidad, prototipado, componentes reutilizables y colaboración multidisciplinar.</t>
  </si>
  <si>
    <t>Trabajo híbrido en Málaga. Permiten remoto durante el periodo inicial si después existe disponibilidad para reubicarse. Revisiones salariales, bonus, formación, seguro médico, presupuesto para deporte y eventos corporativos.</t>
  </si>
  <si>
    <t>https://www.linkedin.com/jobs/search-results/?currentJobId=4436243892&amp;eBP=NOT_ELIGIBLE_FOR_CHARGING&amp;refId=gqWpkfQJH%2F17koWETP4aAA%3D%3D&amp;trackingId=dRZMUHAOkNaNZ3FktbYfpA%3D%3D&amp;keywords=product%20Designer%20posted%20in%20the%20past%202%20days&amp;origin=SEMANTIC_SEARCH_LANDING_PAGE</t>
  </si>
  <si>
    <t>Enfatiza en el CV la experiencia en plataformas complejas, Design Systems, investigación, accesibilidad, dashboards, IA aplicada al diseño y colaboración estrecha con desarrollo. Revisa el requisito de reubicación, ya que mencionan traslado posterior.</t>
  </si>
  <si>
    <t>Match muy alto. Muy alineado con tu perfil técnico y experiencia en SaaS B2B. El único punto a valorar es la necesidad de trasladarse tras el periodo de prueba.</t>
  </si>
  <si>
    <t>Product &amp; Graphic Designer</t>
  </si>
  <si>
    <t>BASE4 Biosciences</t>
  </si>
  <si>
    <t>Mataró (Barcelona)</t>
  </si>
  <si>
    <t>3 años en UX/UI, Product Design, Design Systems, SaaS, Figma, diseño visual, responsive, comunicación visual y colaboración con ingeniería.</t>
  </si>
  <si>
    <t>Buen encaje. Combina UX/UI, producto, Design Systems y visual design. También incluye branding, presentaciones, redes sociales y materiales de marketing, por lo que el rol es bastante híbrido entre Product Designer y Graphic Designer.</t>
  </si>
  <si>
    <t>Startup HealthTech en fase muy temprana, con fuerte componente científico y misión de transformar la medicina preventiva mediante IA y biología computacional. Mucha autonomía e impacto desde el inicio.</t>
  </si>
  <si>
    <t>Prioridad media-alta (8/10). Encajas muy bien en la parte de producto, UX/UI, sistemas y SaaS. El punto menos alineado es el peso importante del diseño gráfico y marketing, que probablemente ocupe una parte significativa del trabajo.</t>
  </si>
  <si>
    <t>BASE4 Biosciences desarrolla una plataforma de diagnóstico basada en IA y análisis de sangre para detectar de forma temprana el deterioro de órganos y avanzar hacia una medicina predictiva.</t>
  </si>
  <si>
    <t>Innovación, impacto social, excelencia, autonomía, colaboración, pensamiento sistémico, ciencia, IA, aprendizaje continuo y orientación al usuario.</t>
  </si>
  <si>
    <t>Product Designer con experiencia en UX/UI, plataformas SaaS, Design Systems, visual design, tipografía, dashboards, responsive design y colaboración con equipos multidisciplinares.</t>
  </si>
  <si>
    <t>Trabajo híbrido, horario flexible, startup en crecimiento, contacto directo con fundadores, científicos e ingenieros. Valoran Motion Design, Webflow/Framer y conocimientos básicos de HTML/CSS.</t>
  </si>
  <si>
    <t>https://www.linkedin.com/jobs/search-results/?currentJobId=4437775235&amp;eBP=NOT_ELIGIBLE_FOR_CHARGING&amp;refId=gqWpkfQJH%2F17koWETP4aAA%3D%3D&amp;trackingId=cDHJJjdZkV0X1yxwBu71jg%3D%3D&amp;keywords=product%20Designer%20posted%20in%20the%20past%202%20days&amp;origin=SEMANTIC_SEARCH_LANDING_PAGE</t>
  </si>
  <si>
    <t>Si aplicas, destaca el Design System, experiencia en plataformas complejas, accesibilidad, visual design y prototipado. Ten en cuenta que el rol incluye bastante trabajo de branding, presentaciones, redes sociales y materiales comerciales, además del producto digital.</t>
  </si>
  <si>
    <t>Buen match, aunque menos alineado que Evinova, Siemens, Pleo o Fever por el peso del diseño gráfico. Muy interesante si te atrae combinar producto, branding y HealthTech.</t>
  </si>
  <si>
    <t>Diseñador/a de producto</t>
  </si>
  <si>
    <t>SKLUM</t>
  </si>
  <si>
    <t>On-site · Full-time</t>
  </si>
  <si>
    <t>Villalonga (Valencia)</t>
  </si>
  <si>
    <t>2 años en diseño de producto físico, AutoCAD, SolidWorks, Rhinoceros, Adobe, prototipado físico y desarrollo de mobiliario.</t>
  </si>
  <si>
    <t>Bajo encaje. Se trata de diseño de producto industrial (mobiliario), desarrollo físico, materiales, fabricación y proveedores, no de diseño de producto digital o UX/UI.</t>
  </si>
  <si>
    <t>Empresa española de mobiliario y decoración con fuerte crecimiento en e-commerce y producto propio. Cultura joven, dinámica y muy enfocada al diseño de interiores.</t>
  </si>
  <si>
    <t>Prioridad muy baja (2/10). Aunque el título puede inducir a error, buscan un perfil de diseño industrial, no un Product Designer digital. La mayor parte de los requisitos no se corresponden con tu experiencia.</t>
  </si>
  <si>
    <t>SKLUM diseña y comercializa mobiliario y decoración con un modelo de venta digital y catálogo propio, centrado en diseño contemporáneo y precios accesibles.</t>
  </si>
  <si>
    <t>Creatividad, diseño, sostenibilidad, trabajo en equipo, innovación, diversidad y orientación al cliente.</t>
  </si>
  <si>
    <t>Diseñador/a de producto industrial con conocimientos de CAD, materiales, fabricación, ergonomía, documentación técnica y negociación con proveedores.</t>
  </si>
  <si>
    <t>Jornada intensiva, seguro médico, cafetería, entrenamiento físico, escuela infantil y descuentos en productos. Trabajo presencial.</t>
  </si>
  <si>
    <t>https://www.linkedin.com/jobs/search-results/?currentJobId=4436548183&amp;eBP=CwEAAAGfPPfs91bQPYIVJQ8aKYWHcjMf3_6ibFjL1xnXabBiQ5eLLFfxPuryAUaXP8E6y9Nsxqwlolu6Z4ZpbzzRGr_sBIEYl36v16WLKVQlyIJYPUdZrjAfgi3kaUGSEhzeGCmR6kjFxn7_z9Qi0lYFBIGnMZIpsY66btuNbCSWCTonPoIBfAaVtKWYy2PWWgUXuN0sBfCjYriig5uNo6NbusNTsJXcoFaCGCYMT9NiqsnF6crf3gZbUzQO3V3_lF9rf1yK0WOX8xjjdBOB3HWQFZ39CecK9zf9DcXVOv5w_Z-7tPgHMV_j47h7eGn0YR__FmMikKAic0fHVI0yL4-6VGGZILdx1CI7fvXrzbN2JJzMw_G8I53I32-wZUqn2V_GGSKQ7sDiSgu0R6NmX-cB7ynbGN7-sH-Fkl-NG-E0nVqIiaQIK_UoV31dFw9n3KGvLnHkfNbAbC7KMPfcpK-ck5JT7yHsMYt8rwQ9hSVkTUkrbxIgCQ&amp;refId=gqWpkfQJH%2F17koWETP4aAA%3D%3D&amp;trackingId=VyEE7CHO4juouPXOGwTcfQ%3D%3D&amp;keywords=product%20Designer%20posted%20in%20the%20past%202%20days&amp;origin=SEMANTIC_SEARCH_LANDING_PAGE</t>
  </si>
  <si>
    <t>No la priorizaría. Requiere experiencia en diseño industrial, prototipos físicos y software CAD (AutoCAD, SolidWorks, Rhinoceros), áreas que no forman parte de tu trayectoria profesional.</t>
  </si>
  <si>
    <t>No recomendable. El nombre del puesto puede confundirse con Product Designer digital, pero el contenido corresponde claramente a diseño industrial de mobiliario.</t>
  </si>
  <si>
    <t>Global Senior CRM &amp; Lifecycle Designer</t>
  </si>
  <si>
    <t>Preply</t>
  </si>
  <si>
    <t>Senior Designer con experiencia en CRM, lifecycle, UX/UI, visual design, experimentación, producto digital, storytelling y colaboración multidisciplinar.</t>
  </si>
  <si>
    <t>Encaje medio-alto. Aunque el foco principal es CRM y lifecycle, el rol trata el CRM como una extensión del producto, diseñando experiencias conectadas entre email, push, in-app y landing pages.</t>
  </si>
  <si>
    <t>Unicornio EdTech en fuerte crecimiento, muy orientado a producto, datos, IA y experimentación. Cultura internacional con procesos maduros y foco en aprendizaje continuo.</t>
  </si>
  <si>
    <t>Prioridad media-alta (7.8/10). Encajas muy bien en producto, UX/UI, investigación y colaboración. Sin embargo, no tienes experiencia específica diseñando CRM o lifecycle marketing, que es el núcleo del puesto.</t>
  </si>
  <si>
    <t>Preply es una plataforma global de aprendizaje de idiomas con más de 100.000 profesores, presencia en 180 países y una reciente ronda Series D de 150 millones de dólares.</t>
  </si>
  <si>
    <t>Aprendizaje continuo, experimentación, colaboración, excelencia, crecimiento, impacto, orientación al usuario, ejecución, diversidad e innovación.</t>
  </si>
  <si>
    <t>Senior Product/UX Designer con capacidad para diseñar experiencias conectadas, producto digital, storytelling, experimentación, diseño visual y colaboración con Producto, Marketing e Ingeniería.</t>
  </si>
  <si>
    <t>Empresa híbrida en Barcelona. Mucho trabajo con email, push notifications, in-app messaging, landing pages, hipótesis, experimentación y métricas. Fuerte apuesta por IA aplicada al aprendizaje.</t>
  </si>
  <si>
    <t>https://www.linkedin.com/jobs/search-results/?currentJobId=4436243537&amp;eBP=CwEAAAGfPPfs9y5TWMoCFKcsHYYZiySdgFHyXKtI2FS-pWknU5JCfHGThQfU7cMtECiYAVMs7SmWeeqXXqJIxpmpEx8cmyxct65gBqpYvl-nIznr1373JlI5RI70DkIxpBvOPpzx28TkKZkFl3gpKzT9aAFZ9CmtCn7XvbgX9mVNIHFPi9XcecpWr9WxsgkV2WL1iUN4Gr-IPPLraWxhuc6Fsj44qWgI5sxlniQza8yIhk9c2Zi6N8Ia1ETaDv-RDf-VmB5IQwoVqJcNr1izQxz719UI4KFbogyIYSu95JpCwv9c34SD-R2el7lqcgtLH1aGbVa9Q91l3YT7mQpWuQ2wpcfQug23hBWArrR1Wh0jOdLt8fHUPPlNzFxXuoUHGL43mHH5PPCiIdHSb65-gh95G7J6-NcpsX2yVQPyArXIHZWaDUtc3OsrEvRXqxVHum5BPS-gRL1Iq3ki5WdV5XwWF9Lluo7tPepVdlfez_VfHsYQsXvg0DJCtVESug&amp;refId=gqWpkfQJH%2F17koWETP4aAA%3D%3D&amp;trackingId=k3gL9dFK1w3j9xuz11S0nw%3D%3D&amp;keywords=product%20Designer%20posted%20in%20the%20past%202%20days&amp;origin=SEMANTIC_SEARCH_LANDING_PAGE</t>
  </si>
  <si>
    <t>Si aplicas, enfoca el CV hacia journeys completos, engagement, onboarding, retención, experimentación, investigación y consistencia entre producto y comunicación. Evita venderte únicamente como especialista en Design Systems porque no es el foco principal del puesto.</t>
  </si>
  <si>
    <t>Buen puesto, pero menos alineado que Siemens, Evinova, Pleo o Fever. El componente CRM/Lifecycle pesa bastante y puede jugar en tu contra frente a candidatos especializados en ese ámbito.</t>
  </si>
  <si>
    <t>Booksy</t>
  </si>
  <si>
    <t>Senior Product Designer con experiencia end-to-end, Design Systems, research, estrategia, AI y producto</t>
  </si>
  <si>
    <t>Muy buen encaje. El rol combina discovery, estrategia, diseño de producto, Design Systems, experimentación y ownership. Muy alineado con tu experiencia en Oxford (research, IA, DS, accesibilidad y producto).</t>
  </si>
  <si>
    <t>Scale-up internacional en crecimiento. Está evolucionando hacia una organización design-led, lo que implica bastante capacidad de influencia pero también incertidumbre.</t>
  </si>
  <si>
    <t>Alta prioridad (8.5-9/10). Encaja especialmente por tu experiencia trabajando en ambigüedad, creando sistemas de diseño, investigación con usuarios y colaboración con PMs y desarrollo. El único posible punto débil es que probablemente busquen varios años en producto digital SaaS puro.</t>
  </si>
  <si>
    <t>Marketplace líder para reservas de belleza y bienestar. Opera internacionalmente y conecta clientes con profesionales del sector. Equipos distribuidos en 6 países.</t>
  </si>
  <si>
    <t>Ownership, autonomía, colaboración, aprendizaje continuo, experimentación, diversidad, inclusión, design-led, orientación a negocio, mejora continua.</t>
  </si>
  <si>
    <t>Product Designer Senior con capacidad estratégica, investigación, UX/UI, Design Systems, experimentación, comunicación con stakeholders, AI aplicada al proceso y visión de negocio.</t>
  </si>
  <si>
    <t>CV y aplicación en inglés. Más de 100 candidatos. Easy Apply. Uso de IA durante el screening (la decisión final la toman personas). Trabajo remoto y horario flexible.</t>
  </si>
  <si>
    <t>https://www.linkedin.com/jobs/collections/recommended/?currentJobId=4433177708</t>
  </si>
  <si>
    <t>Resalta en el CV: Design System en producción, investigación con 31 entrevistas, Maze, Hotjar, accesibilidad, colaboración con ingeniería y documentación. Es importante enfatizar impacto en negocio además del diseño visual.</t>
  </si>
  <si>
    <t xml:space="preserve">He habllado con Virginia Iglesias, Viktoria Toth
</t>
  </si>
  <si>
    <t>Match alto. Destaca especialmente por Design Systems, research, producto complejo y trabajo en ambigüedad. Priorizaría esta candidatura.</t>
  </si>
  <si>
    <t>The Flex (Base360.ai)</t>
  </si>
  <si>
    <t>UX/UI Designer con experiencia en Figma, Design Systems, research, dashboards, landing pages, prototipado, testing y colaboración con desarrollo.</t>
  </si>
  <si>
    <t>Muy buen encaje. Combina producto, UX, UI, Design Systems, research, dashboards, IA y optimización de conversión. Mucho ownership y contacto directo con CEO, PMs e ingenieros.</t>
  </si>
  <si>
    <t>Startup de IA en fuerte crecimiento, con cultura muy emprendedora, exigente y orientada a resultados. Poco corporativa y con mucha autonomía.</t>
  </si>
  <si>
    <t>Alta prioridad (8.5/10). Muy alineada con tu experiencia en plataformas complejas, Design Systems, investigación, accesibilidad y trabajo end-to-end. El punto menos alineado es la parte de marketing/CRO, aunque tienes experiencia suficiente para adaptarte.</t>
  </si>
  <si>
    <t>Base360.ai desarrolla un sistema operativo basado en IA para automatizar las operaciones de marcas B2C. Surge de una empresa que escaló un portfolio de ocho cifras utilizando su propio software.</t>
  </si>
  <si>
    <t>Ownership, excelencia, autonomía, aprendizaje continuo, velocidad, impacto, experimentación, colaboración y mentalidad de crecimiento.</t>
  </si>
  <si>
    <t>Product Designer capaz de diseñar flujos complejos, dashboards, Design Systems, wireframes, prototipos, investigación con usuarios, testing y colaboración estrecha con ingeniería y producto.</t>
  </si>
  <si>
    <t>Incluye diseño de producto, dashboards, workflows, landing pages, branding, Design System, A/B testing y posibilidad de construir equipo en el futuro.</t>
  </si>
  <si>
    <t>https://www.linkedin.com/jobs/collections/recommended/?currentJobId=4436376698&amp;discover=recommended&amp;discoveryOrigin=JOBS_HOME_JYMBII</t>
  </si>
  <si>
    <t>Conviene destacar en el CV el Design System en producción, investigación con usuarios, accesibilidad, colaboración con desarrollo, Figma, prototipos y cualquier experiencia relacionada con optimización de flujos y producto SaaS.</t>
  </si>
  <si>
    <t>He hablado con Michael Buggy co-founder</t>
  </si>
  <si>
    <t>Match alto. Startup muy interesante si buscas crecimiento rápido, autonomía e impacto directo sobre el producto desde el primer día.</t>
  </si>
  <si>
    <t>Fever</t>
  </si>
  <si>
    <t>Senior Product Designer con experiencia end-to-end, discovery, delivery, Design Systems, AI, producto y colaboración con Product &amp; Engineering.</t>
  </si>
  <si>
    <t>Excelente encaje. El rol se centra en discovery, resolución de problemas complejos, sistemas de diseño, escalabilidad, métricas e IA, muy alineado con tu experiencia en Oxford y tu forma de trabajar.</t>
  </si>
  <si>
    <t>Scale-up tecnológica consolidada, líder mundial en entretenimiento. Cultura muy orientada a rendimiento, autonomía, crecimiento e impacto. Ritmo elevado y equipos internacionales.</t>
  </si>
  <si>
    <t>Muy alta prioridad (9.5/10). Probablemente una de las ofertas que mejor encajan con tu perfil. Buscan exactamente experiencia en Design Systems, investigación, flujos complejos, colaboración multidisciplinar, ambigüedad y pensamiento sistémico. Además, valoran el uso de IA en el proceso de diseño, algo que ya utilizas.</t>
  </si>
  <si>
    <t>Plataforma tecnológica líder en experiencias culturales y entretenimiento. Opera en más de 55 países, alcanza a más de 300 millones de usuarios al mes y trabaja con partners como Netflix, FC Barcelona o Primavera Sound.</t>
  </si>
  <si>
    <t>Ownership, excelencia, velocidad, impacto, innovación, pensamiento sistémico, colaboración, mejora continua, orientación a métricas, diversidad e inclusión.</t>
  </si>
  <si>
    <t>Senior Product Designer con experiencia en discovery, UX/UI, investigación, Design Systems, escalabilidad, validación, prototipado, documentación, IA aplicada al diseño y colaboración estrecha con producto e ingeniería.</t>
  </si>
  <si>
    <t>Bonus por rendimiento, stock options, seguro médico, Cobee, Gympass, clases de inglés, Payflow, descuento del 40% en eventos y modalidad home office friendly.</t>
  </si>
  <si>
    <t>https://www.linkedin.com/jobs/collections/recommended/?currentJobId=4386323261&amp;discover=recommended&amp;discoveryOrigin=JOBS_HOME_JYMBII</t>
  </si>
  <si>
    <t>Adapta el CV resaltando Design Systems, investigación con usuarios, accesibilidad, documentación, colaboración con desarrollo, pensamiento estratégico, IA aplicada al workflow y resultados obtenidos mediante research y métricas.</t>
  </si>
  <si>
    <t>Match excelente. Una de las mejores oportunidades de tu lista. Merece una candidatura muy cuidada y personalizada porque el perfil solicitado coincide casi punto por punto con tu experiencia.</t>
  </si>
  <si>
    <t>Pleo</t>
  </si>
  <si>
    <t>Senior Product Designer con experiencia end-to-end, Design Systems, research, experimentación, IA, colaboración con Data, Product e Engineering y productos complejos.</t>
  </si>
  <si>
    <t>Excelente encaje. El foco está en transformar sistemas complejos en experiencias simples, trabajar con Design Systems, research, datos, IA y ownership de producto. Muy alineado con tu experiencia.</t>
  </si>
  <si>
    <t>Scale-up fintech consolidada, referente europeo en gestión de gastos empresariales. Cultura muy madura de producto, muy centrada en calidad, colaboración y autonomía.</t>
  </si>
  <si>
    <t>Prioridad muy alta (9.5/10). Es una de las ofertas que mejor encajan con tu perfil. Lo único menos alineado es que priorizan experiencia directa en productos financieros, aunque tu experiencia diseñando flujos complejos, sistemas y plataformas SaaS compensa bastante.</t>
  </si>
  <si>
    <t>Plataforma fintech utilizada por más de 40.000 empresas para gestionar gastos, tarjetas corporativas, reembolsos, transferencias y control financiero. Más de 850 empleados y presencia internacional.</t>
  </si>
  <si>
    <t>Ownership, confianza, colaboración, excelencia, pensamiento sistémico, orientación a datos, experimentación, innovación, IA, aprendizaje continuo, diversidad e inclusión.</t>
  </si>
  <si>
    <t>Senior Product Designer con experiencia en Design Systems, investigación, UX/UI, sistemas complejos, documentación, experimentación, colaboración multidisciplinar, pensamiento estratégico y mejora continua del producto.</t>
  </si>
  <si>
    <t>Trabajo remoto, stock options, seguro médico, tarjeta Pleo, ayuda para comidas, 25 días de vacaciones, apoyo en salud mental, permiso parental y fuerte cultura de diseño. Solicitud en inglés. Fecha límite: 8 de julio.</t>
  </si>
  <si>
    <t>https://www.linkedin.com/jobs/collections/recommended/?currentJobId=4432376242&amp;discover=recommended&amp;discoveryOrigin=JOBS_HOME_JYMBII</t>
  </si>
  <si>
    <t>En el CV conviene enfatizar investigación con usuarios, Design Systems en producción, documentación, accesibilidad, colaboración con ingeniería, IA aplicada al diseño y cualquier flujo complejo o transaccional (como el flujo de activación/canjeo de Oxford).</t>
  </si>
  <si>
    <t>He hablado Con Julieta Cangas en 2022. Acabo de hablar con Toma Lulgjuraj
Director of Product Design</t>
  </si>
  <si>
    <t>Match excelente. Muy recomendable. Merece una candidatura personalizada porque buscan exactamente pensamiento sistémico, diseño de producto complejo, colaboración y ownership.</t>
  </si>
  <si>
    <t>Evinova
Astrazeneca</t>
  </si>
  <si>
    <t>Senior UI/UX Designer con experiencia en Design Systems, UX/UI, Figma, variables, design tokens, accesibilidad WCAG 2.2 AA, IA, colaboración con Engineering y productos B2B complejos.</t>
  </si>
  <si>
    <t>Encaje excelente. El rol está completamente orientado a Design Systems, accesibilidad, colaboración con ingeniería, IA y escalabilidad, que son precisamente tus puntos más fuertes. Muy poca producción de pantallas y mucho trabajo de sistema.</t>
  </si>
  <si>
    <t>HealthTech perteneciente al ecosistema AstraZeneca, centrada en soluciones digitales e IA para acelerar la investigación clínica. Cultura muy técnica, multidisciplinar y orientada a calidad e innovación.</t>
  </si>
  <si>
    <t>Prioridad muy alta (9.8/10). Posiblemente una de las ofertas que mejor encajan con tu experiencia. Design Systems, Figma avanzado, variables, accesibilidad, documentación, governance, colaboración con desarrollo y pensamiento sistémico coinciden casi exactamente con tu trayectoria.</t>
  </si>
  <si>
    <t>Evinova desarrolla soluciones digitales para investigación clínica y salud utilizando IA. Colabora con compañías como AstraZeneca, Bristol Myers Squibb y Astellas para acelerar el desarrollo de tratamientos mediante plataformas digitales.</t>
  </si>
  <si>
    <t>Innovación, colaboración, excelencia, accesibilidad, calidad, escalabilidad, IA, pensamiento sistémico, mejora continua, diversidad e inclusión.</t>
  </si>
  <si>
    <t>Senior UI/UX Designer especializado en Design Systems, Figma avanzado, componentes, variables, design tokens, UX/UI, Information Architecture, accesibilidad, documentación, QA con desarrollo y colaboración multidisciplinar.</t>
  </si>
  <si>
    <t>Fecha límite 20 de julio. Muy centrado en Figma ↔ código, Storybook, documentación, Design QA y automatización mediante IA. Valoran HealthTech, pero no es imprescindible.</t>
  </si>
  <si>
    <t>https://www.linkedin.com/jobs/search-results/?currentJobId=4436596772&amp;eBP=CwEAAAGfPO18uoCCRI6twQSSg_Vy6d6I4vH1BVIkw6K45mNPI4-gDsXQYrNX-_jknLjIuN-_aAlGipG9koD0GCH2cltbgczoJ3RvrvVBwwOCs2MNCxvnqMq8VZEI_dWD2r9ZppG3WXmLE0PTi4HStAph5RYrhCSsBYkeBKuUBNjxGoP-g0PQjNOTQNubR5Xg11L1KvkktmMmsEcwWMynm2qyV3X157EdLJqtyxNAKIYs92T_PjrrxnffOpAED6DGo1xj803WPD_OQw9XIu0NJAOjoWFUgrbUiYxUjqd63n5RGCZ3eRu-jcb0wNsWnxKV1R6zY4wKVnkLoSfkO9y4v6UKJ9uWm4o6fWeuefG5rWEU47i6iBLb9PTFwbnD-ZqkV5bE6YHKoGJvsZ0jf3Pcvs9JlB8-buvxinyqEFEGc3iGqJGAlFBSv6MwFDVbV9sGq6pldJyWr684ojR6nW16vLkKLfI1aRwasRMkVvOvANVQMG2cb3lhj29q&amp;refId=c0ofM11mwxooRCDDUCb2rQ%3D%3D&amp;trackingId=Kf8R4NHoXQYPtJSOggk8fA%3D%3D&amp;keywords=product%20Designer%20posted%20in%20the%20past%2024%20hours&amp;origin=SEMANTIC_SEARCH_HISTORY&amp;geoId=105646813&amp;distance=25</t>
  </si>
  <si>
    <t>Adapta el CV resaltando el Design System de Oxford, migración a variables, accesibilidad WCAG, documentación, colaboración con desarrollo, QA, prototipos, IA aplicada al diseño y cualquier experiencia con componentes reutilizables y sistemas escalables.</t>
  </si>
  <si>
    <t>Match sobresaliente. Es una de las mejores oportunidades para tu perfil. La candidatura debería personalizarse porque buscan prácticamente el mismo perfil que has desarrollado en Oxford.</t>
  </si>
  <si>
    <t>Siemens Energy</t>
  </si>
  <si>
    <t>Full-time (Flexible/Hybrid)</t>
  </si>
  <si>
    <t>Senior Product Designer con experiencia end-to-end, UX/UI, Product Discovery, User Research, SaaS, IA, Design Systems, Agile y colaboración con ingeniería.</t>
  </si>
  <si>
    <t>Excelente encaje. El puesto combina estrategia de producto, research, Design Systems, SaaS, IA y liderazgo de diseño. Muy alineado con tu experiencia en Oxford y tu perfil orientado a producto.</t>
  </si>
  <si>
    <t>Multinacional líder en tecnología energética con procesos maduros, gran estabilidad y fuerte inversión en innovación, sostenibilidad y transformación digital.</t>
  </si>
  <si>
    <t>Prioridad muy alta (9.5/10). Encajas especialmente por tu experiencia en investigación, plataformas complejas, Design Systems, accesibilidad, colaboración con desarrollo y productos SaaS. El único punto algo más débil es que mencionan liderazgo y mentoring continuado, aunque ya has asumido responsabilidades similares.</t>
  </si>
  <si>
    <t>Siemens Energy desarrolla soluciones tecnológicas para la transición energética y suministra aproximadamente una sexta parte de la electricidad mundial. Opera en más de 90 países con cerca de 100.000 empleados.</t>
  </si>
  <si>
    <t>Innovación, sostenibilidad, colaboración, excelencia, diversidad, inclusión, orientación al usuario, aprendizaje continuo, transformación digital y liderazgo.</t>
  </si>
  <si>
    <t>Senior Product Designer con experiencia en UX/UI, Product Discovery, User Research, prototipado, Design Systems, SaaS, IA, Agile, stakeholder management y colaboración multidisciplinar con ingeniería y negocio.</t>
  </si>
  <si>
    <t>Flexibilidad laboral, trabajo remoto parcial, plan de pensiones, acciones de la compañía, formación continua, desarrollo profesional, programas de conciliación y posibilidad de sabático.</t>
  </si>
  <si>
    <t>https://www.linkedin.com/jobs/search-results/?currentJobId=4436204028&amp;eBP=CwEAAAGfPPfs9qIzh3HOwwbErSyAUOICZ3codFNCzLalGroxoGKSIDyEeKtV-9If9jBHtWWMvWnWiD9TUL046Uq9VU7LCRLamcWg38xyswMvn_JcD7iLlZn4D4x_npT8BuB1BjE4KHyVUHyCUEtfFVRULVCwOfZwWM0ph0hsj-WvRTBcYf9bdOtoWtORH_i4cr4Bj6-DVNyyTHh9L5tYKH0VZZS27-CLdfLVv_3epkYjoWlY5nbuYZBJvxMrluWNpJ1CseeojQBzQja4C-cn5myRfHKdgBDKNfLaNc6pucg5Ojy1eQUedFS6hDu1kLOROpFYAx8fi6hXToHDe3A4mqRkn5xg_Ic4xke3wkNDMof15Xf59JZXbQAQqgpSRBhy0z-D8i7BGPHs47DX95kUvUskRbG1vMycAsJoJLQX3umtrPP8dyG38AlAdGLx8KjcVO8LqyRSllqlMN9vfpC-Ldjs4Gd3YDqhD2WTydFH1E4yZzvL&amp;refId=gqWpkfQJH%2F17koWETP4aAA%3D%3D&amp;trackingId=7p%2FT9rYI30GvvrE%2BvOw8Pw%3D%3D&amp;keywords=product%20Designer%20posted%20in%20the%20past%202%20days&amp;origin=SEMANTIC_SEARCH_LANDING_PAGE</t>
  </si>
  <si>
    <t>Adapta el CV destacando liderazgo en Design Systems, investigación con usuarios, plataformas B2B complejas, colaboración con ingeniería, accesibilidad, IA aplicada al diseño, trabajo con metodologías Agile y resultados medibles.</t>
  </si>
  <si>
    <t>He hablado con Adriano Gatti</t>
  </si>
  <si>
    <t>Match excelente. Una de las ofertas más fuertes para tu perfil. Muy recomendable dedicar tiempo a personalizar tanto el CV como la carta de presentación porque el puesto coincide en gran medida con tu experiencia.</t>
  </si>
  <si>
    <t>Bark.com</t>
  </si>
  <si>
    <t>Senior Product Designer con experiencia end-to-end, Product Discovery, UX/UI, Research, Design Systems, Figma, IA, producto web y móvil, colaboración con PMs e ingeniería.</t>
  </si>
  <si>
    <t>Excelente encaje. El rol combina discovery, research, producto, sistemas de diseño, IA y ownership completo de funcionalidades, muy alineado con tu experiencia en Oxford.</t>
  </si>
  <si>
    <t>Scale-up rentable respaldada por EMK Capital, en plena transformación de producto hacia un marketplace con modelo de suscripción. Cultura orientada a autonomía, impacto y rapidez.</t>
  </si>
  <si>
    <t>Prioridad muy alta (9.5/10). Es una de las ofertas que mejor encajan con tu perfil. Buscan exactamente alguien capaz de trabajar con ambigüedad, investigación, producto complejo, IA, sistemas de diseño y colaboración estrecha con Producto e Ingeniería.</t>
  </si>
  <si>
    <t>Marketplace digital presente en 9 países que conecta clientes con profesionales en más de 1.000 categorías. Actualmente está migrando de un modelo de generación de leads a un marketplace completo con suscripciones.</t>
  </si>
  <si>
    <t>Ownership, autonomía, pensamiento de producto, colaboración, experimentación, orientación a datos, IA, excelencia, aprendizaje continuo, diversidad e impacto.</t>
  </si>
  <si>
    <t>Senior Product Designer con experiencia en discovery, UX/UI, investigación, validación, prototipado, Design Systems, producto SaaS, IA y colaboración multidisciplinar.</t>
  </si>
  <si>
    <t>Antonio Lozano (Senior Product Designer) respondió indicando que el responsable del screening es Mert Amcaoglu (Head of Talent). Conviene escribirle directamente para aumentar la visibilidad de la candidatura. Proceso: Talent → Hiring Manager → Caso práctico → Values Interview.</t>
  </si>
  <si>
    <t>https://www.linkedin.com/jobs/search-results/?currentJobId=4431523622&amp;eBP=CwEAAAGfFG5QzyrRdHZ-MyOQpCyQEl1UceFqjuhRTJHiWt6KF-gdNKOYhrhF0HEvRzFEJRtpVmmSch8NzB4vz7BxlZgIp5MNqfufPeg1Bq09cEXl7Do5v4PusOPtSkbHgSs3Tm6fC71i543EkHlwWnHGvcT-dzvaM-wh-SOeZXUOnryMtCj8DDX91MSDwM-4UNLfatp4i69fgs9WoCRi5FHfzwdHGkG5Ldt1N5kGsgYpqA9VxRnXD-IiZ_ZTIUOWQ5T1rZX5jMLMmrTKkWCiISVBgMQeq8DG98RdLO24ze1TuIz2h99LlWtpNXbDLjmiIZUCFJ29eNvC2iji2tvMzKHh0bzlx__YY3N-BnvlGD2z6UYI18FO0LQtqCE7jHVlA6JYosz7-E0VOby4GaXUN4DG37bmGzSps0hDATazjSPnmdUTbHqq9elw0sKS1ydtMwbnbC0-1fYpQBuFgt3lYI2MfnUMjJ7k2HdXA-LfC1XcJNjP65DY98Op&amp;refId=Ze5%2BpBkL8yku16mBUxlXCQ%3D%3D&amp;trackingId=KFnOJubedJhNMJKxNVbwpg%3D%3D&amp;keywords=ux%2Fui%20posted%20in%20the%20past%2024%20hours&amp;origin=SEMANTIC_SEARCH_HISTORY&amp;geoId=105646813&amp;distance=25</t>
  </si>
  <si>
    <t>Ya has aplicado y has contactado con Antonio. Siguiente paso: escribir un mensaje breve a Mert indicando que has aplicado, destacando tu experiencia en producto, research y Design Systems, y adjuntando el portfolio.</t>
  </si>
  <si>
    <t>He hablado con antonio y con mert</t>
  </si>
  <si>
    <t>Match excelente. Una de las mejores oportunidades de tu búsqueda. Muy recomendable aprovechar el contacto interno y hacer seguimiento con Mert para incrementar las posibilidades de screening.</t>
  </si>
  <si>
    <t>Iberia</t>
  </si>
  <si>
    <t>3-5 años en Product Design, UX/UI, Research, Design Systems, Figma, Maze, Dovetail, accesibilidad, responsive y productos digitales complejos.</t>
  </si>
  <si>
    <t>Excelente encaje. Combina UX Research, Product Design, Design Systems, experimentación, accesibilidad y colaboración transversal en un ecosistema digital complejo (web y app). Muy alineado con tu experiencia.</t>
  </si>
  <si>
    <t>Gran empresa consolidada con una fuerte apuesta por la transformación digital y la mejora continua de la experiencia del cliente. Equipos multidisciplinares y cultura de producto cada vez más madura.</t>
  </si>
  <si>
    <t>Prioridad muy alta (9.3/10). Cumples prácticamente todos los requisitos: investigación, Maze, plataformas complejas, accesibilidad, Design Systems, UX/UI, trabajo con negocio y tecnología, y metodologías ágiles. El sector travel sería el único aspecto que no has trabajado directamente.</t>
  </si>
  <si>
    <t>Iberia es la principal aerolínea española y pertenece al grupo IAG. Está impulsando la evolución de sus productos digitales para mejorar la experiencia omnicanal de millones de viajeros en web y aplicación móvil.</t>
  </si>
  <si>
    <t>Orientación al usuario, colaboración, mejora continua, innovación, eficiencia, seguridad, impacto, diversidad, aprendizaje y excelencia.</t>
  </si>
  <si>
    <t>Product Designer con experiencia en investigación, UX/UI, arquitectura de información, prototipado, validación, accesibilidad, Design Systems, análisis de datos y colaboración con Producto, Tecnología y negocio.</t>
  </si>
  <si>
    <t>Trabajo híbrido en Madrid. Participación en discovery, user testing, CRO, Design Ops, evolución del Design System y decisiones estratégicas de producto. Muy valorable experiencia en e-commerce y ecosistemas omnicanal.</t>
  </si>
  <si>
    <t>https://www.linkedin.com/jobs/search-results/?currentJobId=4438596898&amp;eBP=CwEAAAGfRoQJrPeIbktgADvVmSfRPk89HlRwSueChOwMIUZN9Yk780B_bJ4OVAhV_OVgXvHuPm5CHq_IFiOg7ezN4RRPwhwde0b1Q4gdw_nAU4sAB4ldDqkFX9i4pYT5KV9r1EjV1IKIRxPmLrEMD6XaE3Xa7W9PJmKvBBn2STaBRUDlq4CQRb_ghD-0BQlJTopL_cY9BEGhahNuHeQsHfRDB2n5bhtLOi5EseqbKloYr3xhj4f6QEg2PkX8HbVGeGgTax_V3U9171gowvlGw3ctOwBumP76ECY-Ab10LCHWbpfwh8TgJHkiJb2r_kBCGmeURqjz0qYl6j5Sglu7eY6zTBgBOdipFJlThIAsC5QWu6PwRV2jBywwBJ8i41mhBKE5xSkNIhXKLyqgbTI6imhFq9d11ecpbsuxBubwv60gqYh1qaNBhEvi7MGPHxTDokZb3hD6gzV4wwnn4D0Hf63wGF0qWeUFHKTQQLrLCzxF8P3w&amp;refId=ZMXuu73YVws4mmw0y2ER2A%3D%3D&amp;trackingId=MM5hou9RT7BwG1gtAuqhKQ%3D%3D&amp;keywords=product%20Designer%20posted%20in%20the%20past%202%20days&amp;origin=SEMANTIC_SEARCH_HISTORY&amp;geoId=105646813&amp;distance=25</t>
  </si>
  <si>
    <t>Personaliza el CV destacando las 31 entrevistas, Maze, Hotjar, accesibilidad WCAG, Design System, plataformas B2B complejas, colaboración con desarrollo y resultados de investigación. Son exactamente los puntos que más buscan.</t>
  </si>
  <si>
    <t>Match muy alto. Una de las ofertas más alineadas con tu perfil. Aunque no tengas experiencia en travel, tu experiencia en plataformas complejas, research y Design Systems encaja muy bien con el puesto.</t>
  </si>
  <si>
    <t xml:space="preserve">Excluyendo las rojas, yo priorizaría así:
### Valen mucho la pena
**Top prioridad**
1. **Amaris Consulting** — accesibilidad + UX/UI + Madrid. Seguir fuerte.
2. **Garaje de Ideas** — muy buen fit realista: research, sistemas, estrategia.
3. **Balance** — health/product + impacto. Buena para posicionarte.
4. **CNTXT AI** — AI + ownership, bastante alineada.
5. **OLX** — muy buena empresa/salario, aunque más competitiva.
6. **Bending Spoons** — top, pero exigente. Merece intento si ya escribiste.
7. **PandaDoc** — producto complejo + systems + AI. Muy buena.
8. **MODELIA** — AI + producto + systems. Buena si quieres ese giro.
9. **Elastic** — B2B complejo, buen salto si vendes bien systems.
10. **Checkly** — muy potente, salario alto, más técnica.
### Buenas pero segunda prioridad
**Influencity**, **Trinetix**, **Glintt Global**, **Tribal Worldwide Spain**, **CTAIMA**, **YouGov**, **Freshly Cosmetics**, **Air Apps**.
### Menos prioridad / solo plan B
**MCA**, **Davidson**, **Sngular**, **INNOCV**, **Quantum**, **Confidential Jobs**, **SET Europa**, **Bizneo**.
### A quién escribir
**Ya escrito / seguir**
* **OLX** → Jeremy Hsu: follow-up corto.
* **Bending Spoons** → Alex Landra / Filippo Donisi: buen target.
* **Amaris** → Chiara: mantener relación, agradecer y mostrar interés.
**Escribir ahora**
* **Garaje de Ideas** → recruiter + Lead/Senior Product Designer.
* **Balance** → founder / Head of Product / Product Lead.
* **CNTXT AI** → recruiter + Head of Product/Design.
* **PandaDoc** → Product Design Manager / recruiter.
* **MODELIA** → founder/product lead.
* **Elastic** → Design Manager / UX Manager.
* **Checkly** → Head of Product / Design Lead.
* **Tribal Worldwide Spain** → Strategy/UX Lead.
Mensaje tipo:
“Hi [Name], I’ve applied for the [role] position and wanted to briefly connect. My background is in UX/UI for SaaS and educational platforms, with experience in accessibility, design systems, research, and complex workflows. I’d be happy to share how my profile could fit the team.”
</t>
  </si>
</sst>
</file>

<file path=xl/styles.xml><?xml version="1.0" encoding="utf-8"?>
<styleSheet xmlns="http://schemas.openxmlformats.org/spreadsheetml/2006/main" xmlns:x14ac="http://schemas.microsoft.com/office/spreadsheetml/2009/9/ac" xmlns:mc="http://schemas.openxmlformats.org/markup-compatibility/2006">
  <fonts count="85">
    <font>
      <sz val="10.0"/>
      <color rgb="FF000000"/>
      <name val="Arial"/>
      <scheme val="minor"/>
    </font>
    <font>
      <color theme="1"/>
      <name val="Arial"/>
      <scheme val="minor"/>
    </font>
    <font>
      <sz val="10.0"/>
      <color theme="1"/>
      <name val="Arial"/>
      <scheme val="minor"/>
    </font>
    <font>
      <sz val="14.0"/>
      <color theme="1"/>
      <name val="Arial"/>
      <scheme val="minor"/>
    </font>
    <font>
      <sz val="20.0"/>
      <color theme="1"/>
      <name val="Arial"/>
      <scheme val="minor"/>
    </font>
    <font>
      <b/>
      <color theme="1"/>
      <name val="Arial"/>
      <scheme val="minor"/>
    </font>
    <font>
      <i/>
      <color rgb="FFB7B7B7"/>
      <name val="Arial"/>
      <scheme val="minor"/>
    </font>
    <font>
      <u/>
      <color rgb="FF434343"/>
      <name val="Roboto"/>
    </font>
    <font>
      <u/>
      <color rgb="FF434343"/>
      <name val="Arial"/>
      <scheme val="minor"/>
    </font>
    <font>
      <u/>
      <color rgb="FF0000FF"/>
      <name val="Roboto"/>
    </font>
    <font>
      <strike/>
      <sz val="14.0"/>
      <color rgb="FF434343"/>
      <name val="Arial"/>
      <scheme val="minor"/>
    </font>
    <font>
      <color rgb="FF434343"/>
      <name val="Arial"/>
      <scheme val="minor"/>
    </font>
    <font>
      <b/>
      <sz val="20.0"/>
      <color rgb="FF434343"/>
      <name val="Arial"/>
      <scheme val="minor"/>
    </font>
    <font>
      <b/>
      <color rgb="FF434343"/>
      <name val="Arial"/>
      <scheme val="minor"/>
    </font>
    <font>
      <u/>
      <color rgb="FF434343"/>
      <name val="Roboto"/>
    </font>
    <font>
      <b/>
      <sz val="20.0"/>
      <color theme="1"/>
      <name val="Arial"/>
      <scheme val="minor"/>
    </font>
    <font>
      <u/>
      <color rgb="FF434343"/>
      <name val="Roboto"/>
    </font>
    <font>
      <u/>
      <color rgb="FF0000FF"/>
      <name val="Roboto"/>
    </font>
    <font>
      <u/>
      <color rgb="FF0000FF"/>
      <name val="Roboto"/>
    </font>
    <font>
      <u/>
      <color rgb="FF434343"/>
      <name val="Arial"/>
      <scheme val="minor"/>
    </font>
    <font>
      <u/>
      <color rgb="FF434343"/>
      <name val="Arial"/>
      <scheme val="minor"/>
    </font>
    <font>
      <u/>
      <color rgb="FF434343"/>
      <name val="Arial"/>
      <scheme val="minor"/>
    </font>
    <font>
      <u/>
      <color rgb="FF434343"/>
      <name val="Arial"/>
      <scheme val="minor"/>
    </font>
    <font>
      <u/>
      <color rgb="FF434343"/>
      <name val="Arial"/>
      <scheme val="minor"/>
    </font>
    <font>
      <u/>
      <color rgb="FF434343"/>
      <name val="Arial"/>
      <scheme val="minor"/>
    </font>
    <font>
      <u/>
      <color rgb="FF434343"/>
      <name val="Arial"/>
      <scheme val="minor"/>
    </font>
    <font>
      <u/>
      <color rgb="FF434343"/>
      <name val="Arial"/>
      <scheme val="minor"/>
    </font>
    <font>
      <u/>
      <color rgb="FF434343"/>
      <name val="Roboto"/>
    </font>
    <font>
      <u/>
      <color rgb="FF434343"/>
      <name val="Arial"/>
      <scheme val="minor"/>
    </font>
    <font>
      <u/>
      <color rgb="FF434343"/>
      <name val="Arial"/>
      <scheme val="minor"/>
    </font>
    <font>
      <sz val="20.0"/>
      <color rgb="FF474747"/>
      <name val="&quot;Google Sans&quot;"/>
    </font>
    <font>
      <b/>
      <sz val="11.0"/>
      <color theme="1"/>
      <name val="Arial"/>
      <scheme val="minor"/>
    </font>
    <font>
      <b/>
      <sz val="12.0"/>
      <color theme="1"/>
      <name val="Arial"/>
      <scheme val="minor"/>
    </font>
    <font>
      <b/>
      <sz val="14.0"/>
      <color theme="1"/>
      <name val="Arial"/>
      <scheme val="minor"/>
    </font>
    <font>
      <u/>
      <color rgb="FF0000FF"/>
      <name val="Roboto"/>
    </font>
    <font>
      <u/>
      <color rgb="FF434343"/>
      <name val="Roboto"/>
    </font>
    <font>
      <u/>
      <color rgb="FF0000FF"/>
      <name val="Roboto"/>
    </font>
    <font>
      <u/>
      <color rgb="FF434343"/>
      <name val="Roboto"/>
    </font>
    <font>
      <u/>
      <color rgb="FF0000FF"/>
      <name val="Roboto"/>
    </font>
    <font>
      <b/>
      <u/>
      <color rgb="FF0000FF"/>
      <name val="Roboto"/>
    </font>
    <font>
      <u/>
      <color rgb="FF0000FF"/>
      <name val="Roboto"/>
    </font>
    <font>
      <sz val="13.0"/>
      <color theme="1"/>
      <name val="Arial"/>
      <scheme val="minor"/>
    </font>
    <font>
      <color theme="1"/>
      <name val="Arial"/>
    </font>
    <font>
      <sz val="13.0"/>
      <color theme="1"/>
      <name val="Arial"/>
    </font>
    <font>
      <u/>
      <color rgb="FF0000FF"/>
      <name val="Arial"/>
    </font>
    <font>
      <u/>
      <color rgb="FF0000FF"/>
      <name val="Arial"/>
    </font>
    <font>
      <u/>
      <color rgb="FF0000FF"/>
      <name val="Arial"/>
    </font>
    <font>
      <sz val="20.0"/>
      <color theme="1"/>
      <name val="Arial"/>
    </font>
    <font>
      <u/>
      <color rgb="FF0000FF"/>
      <name val="Arial"/>
    </font>
    <font>
      <u/>
      <color rgb="FF0000FF"/>
      <name val="Arial"/>
    </font>
    <font>
      <u/>
      <color rgb="FF0000FF"/>
      <name val="Arial"/>
    </font>
    <font>
      <u/>
      <color rgb="FF0000FF"/>
      <name val="Arial"/>
    </font>
    <font>
      <u/>
      <color rgb="FF434343"/>
      <name val="Arial"/>
    </font>
    <font>
      <u/>
      <color rgb="FF0000FF"/>
      <name val="Roboto"/>
    </font>
    <font>
      <u/>
      <color rgb="FF0000FF"/>
      <name val="Roboto"/>
    </font>
    <font>
      <u/>
      <color rgb="FF0000FF"/>
      <name val="Roboto"/>
    </font>
    <font>
      <u/>
      <color rgb="FF0000FF"/>
      <name val="Roboto"/>
    </font>
    <font>
      <u/>
      <color rgb="FF0000FF"/>
      <name val="Arial"/>
    </font>
    <font>
      <u/>
      <color rgb="FF1155CC"/>
      <name val="Arial"/>
    </font>
    <font>
      <strike/>
      <color theme="1"/>
      <name val="Arial"/>
      <scheme val="minor"/>
    </font>
    <font>
      <strike/>
      <color rgb="FF0000FF"/>
      <name val="Roboto"/>
    </font>
    <font>
      <u/>
      <color rgb="FF434343"/>
      <name val="Arial"/>
    </font>
    <font>
      <u/>
      <color rgb="FF434343"/>
      <name val="Arial"/>
    </font>
    <font>
      <color rgb="FF434343"/>
      <name val="Arial"/>
    </font>
    <font>
      <u/>
      <color rgb="FF0000FF"/>
      <name val="Arial"/>
    </font>
    <font>
      <color rgb="FF434343"/>
      <name val="Roboto"/>
    </font>
    <font>
      <u/>
      <color rgb="FF0000FF"/>
      <name val="Arial"/>
    </font>
    <font>
      <u/>
      <color rgb="FF0000FF"/>
      <name val="Arial"/>
    </font>
    <font>
      <sz val="12.0"/>
      <color theme="1"/>
      <name val="Arial"/>
      <scheme val="minor"/>
    </font>
    <font>
      <u/>
      <color rgb="FF1155CC"/>
      <name val="Arial"/>
    </font>
    <font>
      <u/>
      <color rgb="FF0000FF"/>
      <name val="Arial"/>
    </font>
    <font>
      <u/>
      <color rgb="FF0000FF"/>
    </font>
    <font>
      <u/>
      <color rgb="FF0000FF"/>
    </font>
    <font>
      <u/>
      <color rgb="FF0000FF"/>
    </font>
    <font>
      <sz val="10.0"/>
      <color theme="1"/>
      <name val="Arial"/>
    </font>
    <font>
      <u/>
      <sz val="10.0"/>
      <color rgb="FF0000FF"/>
    </font>
    <font>
      <u/>
      <sz val="10.0"/>
      <color rgb="FF0000FF"/>
      <name val="Arial"/>
    </font>
    <font>
      <u/>
      <sz val="10.0"/>
      <color rgb="FF0000FF"/>
      <name val="Arial"/>
    </font>
    <font>
      <u/>
      <color rgb="FF0000FF"/>
    </font>
    <font>
      <u/>
      <color rgb="FF0000FF"/>
    </font>
    <font>
      <u/>
      <color rgb="FF0000FF"/>
      <name val="Arial"/>
    </font>
    <font>
      <u/>
      <sz val="10.0"/>
      <color rgb="FF1155CC"/>
      <name val="Arial"/>
    </font>
    <font>
      <u/>
      <color rgb="FF1155CC"/>
      <name val="Arial"/>
    </font>
    <font>
      <u/>
      <color rgb="FF434343"/>
      <name val="Arial"/>
    </font>
    <font>
      <u/>
      <color rgb="FF434343"/>
      <name val="Arial"/>
    </font>
  </fonts>
  <fills count="12">
    <fill>
      <patternFill patternType="none"/>
    </fill>
    <fill>
      <patternFill patternType="lightGray"/>
    </fill>
    <fill>
      <patternFill patternType="solid">
        <fgColor rgb="FFB6D7A8"/>
        <bgColor rgb="FFB6D7A8"/>
      </patternFill>
    </fill>
    <fill>
      <patternFill patternType="solid">
        <fgColor rgb="FFF6B26B"/>
        <bgColor rgb="FFF6B26B"/>
      </patternFill>
    </fill>
    <fill>
      <patternFill patternType="solid">
        <fgColor rgb="FFEA9999"/>
        <bgColor rgb="FFEA9999"/>
      </patternFill>
    </fill>
    <fill>
      <patternFill patternType="solid">
        <fgColor rgb="FFA4C2F4"/>
        <bgColor rgb="FFA4C2F4"/>
      </patternFill>
    </fill>
    <fill>
      <patternFill patternType="solid">
        <fgColor rgb="FFFFE8E8"/>
        <bgColor rgb="FFFFE8E8"/>
      </patternFill>
    </fill>
    <fill>
      <patternFill patternType="solid">
        <fgColor rgb="FFF1D5D5"/>
        <bgColor rgb="FFF1D5D5"/>
      </patternFill>
    </fill>
    <fill>
      <patternFill patternType="solid">
        <fgColor rgb="FFF8F9FA"/>
        <bgColor rgb="FFF8F9FA"/>
      </patternFill>
    </fill>
    <fill>
      <patternFill patternType="solid">
        <fgColor rgb="FFFFFFFF"/>
        <bgColor rgb="FFFFFFFF"/>
      </patternFill>
    </fill>
    <fill>
      <patternFill patternType="solid">
        <fgColor rgb="FFFFF1EA"/>
        <bgColor rgb="FFFFF1EA"/>
      </patternFill>
    </fill>
    <fill>
      <patternFill patternType="solid">
        <fgColor rgb="FFF5FFF3"/>
        <bgColor rgb="FFF5FFF3"/>
      </patternFill>
    </fill>
  </fills>
  <borders count="6">
    <border/>
    <border>
      <left style="thin">
        <color rgb="FFB7B7B7"/>
      </left>
      <right style="thin">
        <color rgb="FFB7B7B7"/>
      </right>
      <top style="thin">
        <color rgb="FFB7B7B7"/>
      </top>
      <bottom style="thin">
        <color rgb="FFB7B7B7"/>
      </bottom>
    </border>
    <border>
      <left style="thin">
        <color rgb="FFB7B7B7"/>
      </left>
      <top style="thin">
        <color rgb="FFB7B7B7"/>
      </top>
      <bottom style="thin">
        <color rgb="FFB7B7B7"/>
      </bottom>
    </border>
    <border>
      <left style="thin">
        <color rgb="FFB7B7B7"/>
      </left>
      <right style="thin">
        <color rgb="FFB7B7B7"/>
      </right>
      <top style="thin">
        <color rgb="FFB7B7B7"/>
      </top>
    </border>
    <border>
      <right style="thin">
        <color rgb="FFB7B7B7"/>
      </right>
      <top style="thin">
        <color rgb="FFB7B7B7"/>
      </top>
      <bottom style="thin">
        <color rgb="FFB7B7B7"/>
      </bottom>
    </border>
    <border>
      <left style="thin">
        <color rgb="FFB7B7B7"/>
      </left>
      <right style="thin">
        <color rgb="FFB7B7B7"/>
      </right>
      <bottom style="thin">
        <color rgb="FFB7B7B7"/>
      </bottom>
    </border>
  </borders>
  <cellStyleXfs count="1">
    <xf borderId="0" fillId="0" fontId="0" numFmtId="0" applyAlignment="1" applyFont="1"/>
  </cellStyleXfs>
  <cellXfs count="328">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2" numFmtId="49" xfId="0" applyAlignment="1" applyFont="1" applyNumberFormat="1">
      <alignment horizontal="center" readingOrder="0" shrinkToFit="0" vertical="center" wrapText="1"/>
    </xf>
    <xf borderId="0" fillId="0" fontId="1" numFmtId="49" xfId="0" applyAlignment="1" applyFont="1" applyNumberFormat="1">
      <alignment horizontal="center" readingOrder="0" shrinkToFit="0" vertical="center" wrapText="1"/>
    </xf>
    <xf borderId="0" fillId="0" fontId="1" numFmtId="49" xfId="0" applyAlignment="1" applyFont="1" applyNumberFormat="1">
      <alignment horizontal="center" readingOrder="0" shrinkToFit="0" vertical="center" wrapText="1"/>
    </xf>
    <xf borderId="0" fillId="0" fontId="1" numFmtId="0" xfId="0" applyAlignment="1" applyFont="1">
      <alignment horizontal="center" readingOrder="0" shrinkToFit="0" vertical="center" wrapText="1"/>
    </xf>
    <xf borderId="0" fillId="2" fontId="3" numFmtId="0" xfId="0" applyAlignment="1" applyFill="1" applyFont="1">
      <alignment horizontal="left" readingOrder="0" shrinkToFit="0" vertical="top" wrapText="1"/>
    </xf>
    <xf borderId="1" fillId="0" fontId="1" numFmtId="0" xfId="0" applyAlignment="1" applyBorder="1" applyFont="1">
      <alignment horizontal="center" readingOrder="0" shrinkToFit="0" vertical="center" wrapText="1"/>
    </xf>
    <xf borderId="1" fillId="0" fontId="4" numFmtId="0" xfId="0" applyAlignment="1" applyBorder="1" applyFont="1">
      <alignment horizontal="center" readingOrder="0" shrinkToFit="0" vertical="center" wrapText="1"/>
    </xf>
    <xf borderId="1" fillId="0" fontId="1" numFmtId="0" xfId="0" applyAlignment="1" applyBorder="1" applyFont="1">
      <alignment horizontal="center" readingOrder="0" shrinkToFit="0" vertical="center" wrapText="1"/>
    </xf>
    <xf borderId="1" fillId="0" fontId="1" numFmtId="0" xfId="0" applyAlignment="1" applyBorder="1" applyFont="1">
      <alignment horizontal="center" readingOrder="0" shrinkToFit="0" vertical="center" wrapText="1"/>
    </xf>
    <xf borderId="1" fillId="2" fontId="3" numFmtId="0" xfId="0" applyAlignment="1" applyBorder="1" applyFont="1">
      <alignment horizontal="left" readingOrder="0" shrinkToFit="0" vertical="top" wrapText="1"/>
    </xf>
    <xf borderId="1" fillId="0" fontId="5" numFmtId="0" xfId="0" applyAlignment="1" applyBorder="1" applyFont="1">
      <alignment horizontal="center" readingOrder="0" shrinkToFit="0" vertical="center" wrapText="1"/>
    </xf>
    <xf borderId="1" fillId="0" fontId="1" numFmtId="0" xfId="0" applyAlignment="1" applyBorder="1" applyFont="1">
      <alignment horizontal="left" readingOrder="0" shrinkToFit="0" vertical="top" wrapText="1"/>
    </xf>
    <xf borderId="1" fillId="0" fontId="1" numFmtId="0" xfId="0" applyAlignment="1" applyBorder="1" applyFont="1">
      <alignment readingOrder="0" shrinkToFit="0" vertical="center" wrapText="1"/>
    </xf>
    <xf borderId="1" fillId="0" fontId="6" numFmtId="0" xfId="0" applyAlignment="1" applyBorder="1" applyFont="1">
      <alignment horizontal="left" readingOrder="0" shrinkToFit="0" vertical="top" wrapText="1"/>
    </xf>
    <xf borderId="1" fillId="0" fontId="1" numFmtId="0" xfId="0" applyAlignment="1" applyBorder="1" applyFont="1">
      <alignment horizontal="left" readingOrder="0" shrinkToFit="0" vertical="top" wrapText="1"/>
    </xf>
    <xf borderId="1" fillId="0" fontId="7" numFmtId="0" xfId="0" applyAlignment="1" applyBorder="1" applyFont="1">
      <alignment horizontal="left" readingOrder="0" shrinkToFit="0" vertical="top" wrapText="1"/>
    </xf>
    <xf borderId="2" fillId="0" fontId="1" numFmtId="0" xfId="0" applyAlignment="1" applyBorder="1" applyFont="1">
      <alignment horizontal="left" readingOrder="0" shrinkToFit="0" vertical="top" wrapText="1"/>
    </xf>
    <xf borderId="0" fillId="0" fontId="8" numFmtId="0" xfId="0" applyAlignment="1" applyFont="1">
      <alignment horizontal="left" readingOrder="0" shrinkToFit="0" vertical="top" wrapText="1"/>
    </xf>
    <xf borderId="1" fillId="3" fontId="3" numFmtId="0" xfId="0" applyAlignment="1" applyBorder="1" applyFill="1" applyFont="1">
      <alignment horizontal="center" readingOrder="0" shrinkToFit="0" vertical="center" wrapText="1"/>
    </xf>
    <xf borderId="1" fillId="0" fontId="6" numFmtId="0" xfId="0" applyAlignment="1" applyBorder="1" applyFont="1">
      <alignment horizontal="center" readingOrder="0" shrinkToFit="0" vertical="center" wrapText="1"/>
    </xf>
    <xf borderId="1" fillId="0" fontId="1" numFmtId="0" xfId="0" applyAlignment="1" applyBorder="1" applyFont="1">
      <alignment horizontal="left" readingOrder="0" shrinkToFit="0" vertical="center" wrapText="1"/>
    </xf>
    <xf borderId="1" fillId="0" fontId="1" numFmtId="0" xfId="0" applyAlignment="1" applyBorder="1" applyFont="1">
      <alignment horizontal="left" readingOrder="0" shrinkToFit="0" vertical="center" wrapText="1"/>
    </xf>
    <xf borderId="1" fillId="0" fontId="9" numFmtId="0" xfId="0" applyAlignment="1" applyBorder="1" applyFont="1">
      <alignment horizontal="center" readingOrder="0" shrinkToFit="0" vertical="center" wrapText="1"/>
    </xf>
    <xf borderId="1" fillId="0" fontId="1" numFmtId="0" xfId="0" applyAlignment="1" applyBorder="1" applyFont="1">
      <alignment horizontal="center" readingOrder="0" shrinkToFit="0" vertical="center" wrapText="1"/>
    </xf>
    <xf borderId="2" fillId="0" fontId="1" numFmtId="0" xfId="0" applyAlignment="1" applyBorder="1" applyFont="1">
      <alignment horizontal="center" readingOrder="0" shrinkToFit="0" vertical="center" wrapText="1"/>
    </xf>
    <xf borderId="0" fillId="0" fontId="1" numFmtId="0" xfId="0" applyAlignment="1" applyFont="1">
      <alignment horizontal="center" readingOrder="0" shrinkToFit="0" vertical="center" wrapText="1"/>
    </xf>
    <xf borderId="2" fillId="0" fontId="1" numFmtId="0" xfId="0" applyAlignment="1" applyBorder="1" applyFont="1">
      <alignment horizontal="center" readingOrder="0" shrinkToFit="0" vertical="center" wrapText="1"/>
    </xf>
    <xf borderId="1" fillId="4" fontId="3" numFmtId="0" xfId="0" applyAlignment="1" applyBorder="1" applyFill="1" applyFont="1">
      <alignment horizontal="center" readingOrder="0" shrinkToFit="0" vertical="center" wrapText="1"/>
    </xf>
    <xf borderId="1" fillId="0" fontId="1" numFmtId="0" xfId="0" applyAlignment="1" applyBorder="1" applyFont="1">
      <alignment readingOrder="0" shrinkToFit="0" vertical="center" wrapText="1"/>
    </xf>
    <xf borderId="1" fillId="5" fontId="10" numFmtId="0" xfId="0" applyAlignment="1" applyBorder="1" applyFill="1" applyFont="1">
      <alignment horizontal="left" readingOrder="0" shrinkToFit="0" vertical="top" wrapText="1"/>
    </xf>
    <xf borderId="1" fillId="6" fontId="11" numFmtId="0" xfId="0" applyAlignment="1" applyBorder="1" applyFill="1" applyFont="1">
      <alignment horizontal="center" readingOrder="0" shrinkToFit="0" vertical="center" wrapText="1"/>
    </xf>
    <xf borderId="1" fillId="6" fontId="12" numFmtId="0" xfId="0" applyAlignment="1" applyBorder="1" applyFont="1">
      <alignment horizontal="center" readingOrder="0" shrinkToFit="0" vertical="center" wrapText="1"/>
    </xf>
    <xf borderId="1" fillId="6" fontId="13" numFmtId="0" xfId="0" applyAlignment="1" applyBorder="1" applyFont="1">
      <alignment horizontal="center" readingOrder="0" shrinkToFit="0" vertical="center" wrapText="1"/>
    </xf>
    <xf borderId="1" fillId="6" fontId="11" numFmtId="0" xfId="0" applyAlignment="1" applyBorder="1" applyFont="1">
      <alignment readingOrder="0" shrinkToFit="0" vertical="center" wrapText="1"/>
    </xf>
    <xf borderId="1" fillId="6" fontId="11" numFmtId="0" xfId="0" applyAlignment="1" applyBorder="1" applyFont="1">
      <alignment horizontal="left" readingOrder="0" shrinkToFit="0" vertical="center" wrapText="1"/>
    </xf>
    <xf borderId="1" fillId="6" fontId="14" numFmtId="0" xfId="0" applyAlignment="1" applyBorder="1" applyFont="1">
      <alignment horizontal="center" readingOrder="0" shrinkToFit="0" vertical="center" wrapText="1"/>
    </xf>
    <xf borderId="2" fillId="6" fontId="11" numFmtId="0" xfId="0" applyAlignment="1" applyBorder="1" applyFont="1">
      <alignment horizontal="center" readingOrder="0" shrinkToFit="0" vertical="center" wrapText="1"/>
    </xf>
    <xf borderId="0" fillId="6" fontId="11" numFmtId="0" xfId="0" applyAlignment="1" applyFont="1">
      <alignment horizontal="center" readingOrder="0" shrinkToFit="0" vertical="center" wrapText="1"/>
    </xf>
    <xf borderId="1" fillId="7" fontId="1" numFmtId="0" xfId="0" applyAlignment="1" applyBorder="1" applyFill="1" applyFont="1">
      <alignment horizontal="center" readingOrder="0" shrinkToFit="0" vertical="center" wrapText="1"/>
    </xf>
    <xf borderId="3" fillId="7" fontId="15" numFmtId="0" xfId="0" applyAlignment="1" applyBorder="1" applyFont="1">
      <alignment horizontal="center" readingOrder="0" shrinkToFit="0" vertical="center" wrapText="1"/>
    </xf>
    <xf borderId="3" fillId="7" fontId="1" numFmtId="0" xfId="0" applyAlignment="1" applyBorder="1" applyFont="1">
      <alignment horizontal="center" readingOrder="0" shrinkToFit="0" vertical="center" wrapText="1"/>
    </xf>
    <xf borderId="1" fillId="7" fontId="5" numFmtId="0" xfId="0" applyAlignment="1" applyBorder="1" applyFont="1">
      <alignment horizontal="center" readingOrder="0" shrinkToFit="0" vertical="center" wrapText="1"/>
    </xf>
    <xf borderId="1" fillId="7" fontId="1" numFmtId="0" xfId="0" applyAlignment="1" applyBorder="1" applyFont="1">
      <alignment readingOrder="0" shrinkToFit="0" vertical="center" wrapText="1"/>
    </xf>
    <xf borderId="1" fillId="7" fontId="16" numFmtId="0" xfId="0" applyAlignment="1" applyBorder="1" applyFont="1">
      <alignment horizontal="center" readingOrder="0" shrinkToFit="0" vertical="center" wrapText="1"/>
    </xf>
    <xf borderId="2" fillId="7" fontId="1" numFmtId="0" xfId="0" applyAlignment="1" applyBorder="1" applyFont="1">
      <alignment horizontal="center" readingOrder="0" shrinkToFit="0" vertical="center" wrapText="1"/>
    </xf>
    <xf borderId="0" fillId="7" fontId="1" numFmtId="0" xfId="0" applyAlignment="1" applyFont="1">
      <alignment horizontal="center" readingOrder="0" shrinkToFit="0" vertical="center" wrapText="1"/>
    </xf>
    <xf borderId="1" fillId="0" fontId="4" numFmtId="0" xfId="0" applyAlignment="1" applyBorder="1" applyFont="1">
      <alignment horizontal="center" readingOrder="0" shrinkToFit="0" vertical="center" wrapText="0"/>
    </xf>
    <xf borderId="1" fillId="0" fontId="17" numFmtId="0" xfId="0" applyAlignment="1" applyBorder="1" applyFont="1">
      <alignment readingOrder="0" shrinkToFit="0" vertical="center" wrapText="0"/>
    </xf>
    <xf borderId="4" fillId="0" fontId="5" numFmtId="0" xfId="0" applyAlignment="1" applyBorder="1" applyFont="1">
      <alignment horizontal="center" readingOrder="0" shrinkToFit="0" vertical="center" wrapText="1"/>
    </xf>
    <xf borderId="5" fillId="0" fontId="4" numFmtId="0" xfId="0" applyAlignment="1" applyBorder="1" applyFont="1">
      <alignment horizontal="center" readingOrder="0" shrinkToFit="0" vertical="center" wrapText="1"/>
    </xf>
    <xf borderId="5" fillId="0" fontId="1" numFmtId="0" xfId="0" applyAlignment="1" applyBorder="1" applyFont="1">
      <alignment horizontal="center" readingOrder="0" shrinkToFit="0" vertical="center" wrapText="1"/>
    </xf>
    <xf borderId="1" fillId="0" fontId="6" numFmtId="0" xfId="0" applyAlignment="1" applyBorder="1" applyFont="1">
      <alignment horizontal="center" readingOrder="0" shrinkToFit="0" vertical="center" wrapText="1"/>
    </xf>
    <xf borderId="1" fillId="6" fontId="1" numFmtId="0" xfId="0" applyAlignment="1" applyBorder="1" applyFont="1">
      <alignment horizontal="center" readingOrder="0" shrinkToFit="0" vertical="center" wrapText="1"/>
    </xf>
    <xf borderId="1" fillId="6" fontId="4" numFmtId="0" xfId="0" applyAlignment="1" applyBorder="1" applyFont="1">
      <alignment horizontal="center" readingOrder="0" shrinkToFit="0" vertical="center" wrapText="1"/>
    </xf>
    <xf borderId="1" fillId="6" fontId="5" numFmtId="0" xfId="0" applyAlignment="1" applyBorder="1" applyFont="1">
      <alignment horizontal="center" readingOrder="0" shrinkToFit="0" vertical="center" wrapText="1"/>
    </xf>
    <xf borderId="1" fillId="6" fontId="1" numFmtId="0" xfId="0" applyAlignment="1" applyBorder="1" applyFont="1">
      <alignment readingOrder="0" shrinkToFit="0" vertical="center" wrapText="1"/>
    </xf>
    <xf borderId="1" fillId="6" fontId="6" numFmtId="0" xfId="0" applyAlignment="1" applyBorder="1" applyFont="1">
      <alignment horizontal="center" readingOrder="0" shrinkToFit="0" vertical="center" wrapText="1"/>
    </xf>
    <xf borderId="1" fillId="6" fontId="1" numFmtId="0" xfId="0" applyAlignment="1" applyBorder="1" applyFont="1">
      <alignment horizontal="center" readingOrder="0" shrinkToFit="0" vertical="center" wrapText="1"/>
    </xf>
    <xf borderId="1" fillId="6" fontId="1" numFmtId="0" xfId="0" applyAlignment="1" applyBorder="1" applyFont="1">
      <alignment horizontal="center" readingOrder="0" shrinkToFit="0" vertical="center" wrapText="1"/>
    </xf>
    <xf borderId="1" fillId="6" fontId="18" numFmtId="0" xfId="0" applyAlignment="1" applyBorder="1" applyFont="1">
      <alignment horizontal="center" readingOrder="0" shrinkToFit="0" vertical="center" wrapText="1"/>
    </xf>
    <xf borderId="2" fillId="6" fontId="1" numFmtId="0" xfId="0" applyAlignment="1" applyBorder="1" applyFont="1">
      <alignment horizontal="center" readingOrder="0" shrinkToFit="0" vertical="center" wrapText="1"/>
    </xf>
    <xf borderId="0" fillId="6" fontId="1" numFmtId="0" xfId="0" applyAlignment="1" applyFont="1">
      <alignment horizontal="center" readingOrder="0" shrinkToFit="0" vertical="center" wrapText="1"/>
    </xf>
    <xf borderId="1" fillId="7" fontId="4" numFmtId="0" xfId="0" applyAlignment="1" applyBorder="1" applyFont="1">
      <alignment horizontal="center" readingOrder="0" shrinkToFit="0" vertical="center" wrapText="1"/>
    </xf>
    <xf borderId="1" fillId="7" fontId="1" numFmtId="0" xfId="0" applyAlignment="1" applyBorder="1" applyFont="1">
      <alignment readingOrder="0" shrinkToFit="0" vertical="center" wrapText="1"/>
    </xf>
    <xf borderId="1" fillId="7" fontId="1" numFmtId="0" xfId="0" applyAlignment="1" applyBorder="1" applyFont="1">
      <alignment horizontal="center" readingOrder="0" shrinkToFit="0" vertical="center" wrapText="1"/>
    </xf>
    <xf borderId="1" fillId="7" fontId="19" numFmtId="0" xfId="0" applyAlignment="1" applyBorder="1" applyFont="1">
      <alignment horizontal="center" readingOrder="0" shrinkToFit="0" vertical="center" wrapText="1"/>
    </xf>
    <xf borderId="1" fillId="7" fontId="20" numFmtId="0" xfId="0" applyAlignment="1" applyBorder="1" applyFont="1">
      <alignment horizontal="left" readingOrder="0" shrinkToFit="0" vertical="center" wrapText="1"/>
    </xf>
    <xf borderId="2" fillId="7" fontId="21" numFmtId="0" xfId="0" applyAlignment="1" applyBorder="1" applyFont="1">
      <alignment horizontal="center" readingOrder="0" shrinkToFit="0" vertical="center" wrapText="1"/>
    </xf>
    <xf borderId="0" fillId="7" fontId="22" numFmtId="0" xfId="0" applyAlignment="1" applyFont="1">
      <alignment horizontal="center" readingOrder="0" shrinkToFit="0" vertical="center" wrapText="1"/>
    </xf>
    <xf borderId="1" fillId="0" fontId="23" numFmtId="0" xfId="0" applyAlignment="1" applyBorder="1" applyFont="1">
      <alignment horizontal="center" readingOrder="0" shrinkToFit="0" vertical="center" wrapText="1"/>
    </xf>
    <xf borderId="2" fillId="0" fontId="24" numFmtId="0" xfId="0" applyAlignment="1" applyBorder="1" applyFont="1">
      <alignment horizontal="center" readingOrder="0" shrinkToFit="0" vertical="center" wrapText="1"/>
    </xf>
    <xf borderId="0" fillId="0" fontId="25" numFmtId="0" xfId="0" applyAlignment="1" applyFont="1">
      <alignment horizontal="center" readingOrder="0" shrinkToFit="0" vertical="center" wrapText="1"/>
    </xf>
    <xf borderId="1" fillId="6" fontId="26" numFmtId="0" xfId="0" applyAlignment="1" applyBorder="1" applyFont="1">
      <alignment horizontal="center" readingOrder="0" shrinkToFit="0" vertical="center" wrapText="1"/>
    </xf>
    <xf borderId="0" fillId="6" fontId="27" numFmtId="0" xfId="0" applyAlignment="1" applyFont="1">
      <alignment readingOrder="0" shrinkToFit="0" vertical="center" wrapText="0"/>
    </xf>
    <xf borderId="2" fillId="6" fontId="28" numFmtId="0" xfId="0" applyAlignment="1" applyBorder="1" applyFont="1">
      <alignment horizontal="center" readingOrder="0" shrinkToFit="0" vertical="center" wrapText="1"/>
    </xf>
    <xf borderId="0" fillId="6" fontId="29" numFmtId="0" xfId="0" applyAlignment="1" applyFont="1">
      <alignment horizontal="center" readingOrder="0" shrinkToFit="0" vertical="center" wrapText="1"/>
    </xf>
    <xf borderId="1" fillId="0" fontId="3" numFmtId="0" xfId="0" applyAlignment="1" applyBorder="1" applyFont="1">
      <alignment horizontal="center" readingOrder="0" shrinkToFit="0" vertical="center" wrapText="1"/>
    </xf>
    <xf borderId="1" fillId="0" fontId="1" numFmtId="0" xfId="0" applyAlignment="1" applyBorder="1" applyFont="1">
      <alignment readingOrder="0" shrinkToFit="0" vertical="center" wrapText="0"/>
    </xf>
    <xf borderId="0" fillId="0" fontId="1" numFmtId="0" xfId="0" applyAlignment="1" applyFont="1">
      <alignment readingOrder="0" shrinkToFit="0" vertical="center" wrapText="0"/>
    </xf>
    <xf borderId="0" fillId="8" fontId="30" numFmtId="0" xfId="0" applyAlignment="1" applyFill="1" applyFont="1">
      <alignment horizontal="center" readingOrder="0" shrinkToFit="0" vertical="center" wrapText="0"/>
    </xf>
    <xf borderId="1" fillId="0" fontId="31" numFmtId="0" xfId="0" applyAlignment="1" applyBorder="1" applyFont="1">
      <alignment horizontal="center" readingOrder="0" shrinkToFit="0" vertical="center" wrapText="1"/>
    </xf>
    <xf borderId="1" fillId="0" fontId="32" numFmtId="0" xfId="0" applyAlignment="1" applyBorder="1" applyFont="1">
      <alignment readingOrder="0" shrinkToFit="0" vertical="center" wrapText="0"/>
    </xf>
    <xf borderId="1" fillId="0" fontId="33" numFmtId="0" xfId="0" applyAlignment="1" applyBorder="1" applyFont="1">
      <alignment readingOrder="0" shrinkToFit="0" vertical="center" wrapText="1"/>
    </xf>
    <xf borderId="1" fillId="7" fontId="3" numFmtId="0" xfId="0" applyAlignment="1" applyBorder="1" applyFont="1">
      <alignment horizontal="center" readingOrder="0" shrinkToFit="0" vertical="center" wrapText="1"/>
    </xf>
    <xf borderId="1" fillId="7" fontId="33" numFmtId="0" xfId="0" applyAlignment="1" applyBorder="1" applyFont="1">
      <alignment readingOrder="0" shrinkToFit="0" vertical="center" wrapText="1"/>
    </xf>
    <xf borderId="1" fillId="7" fontId="1" numFmtId="0" xfId="0" applyAlignment="1" applyBorder="1" applyFont="1">
      <alignment horizontal="center" readingOrder="0" shrinkToFit="0" vertical="center" wrapText="1"/>
    </xf>
    <xf borderId="1" fillId="7" fontId="34" numFmtId="0" xfId="0" applyAlignment="1" applyBorder="1" applyFont="1">
      <alignment horizontal="center" readingOrder="0" shrinkToFit="0" vertical="center" wrapText="1"/>
    </xf>
    <xf borderId="0" fillId="7" fontId="30" numFmtId="0" xfId="0" applyAlignment="1" applyFont="1">
      <alignment horizontal="center" readingOrder="0" shrinkToFit="0" vertical="center" wrapText="0"/>
    </xf>
    <xf borderId="2" fillId="7" fontId="1" numFmtId="0" xfId="0" applyAlignment="1" applyBorder="1" applyFont="1">
      <alignment horizontal="center" readingOrder="0" shrinkToFit="0" vertical="center" wrapText="1"/>
    </xf>
    <xf borderId="0" fillId="7" fontId="1" numFmtId="0" xfId="0" applyAlignment="1" applyFont="1">
      <alignment horizontal="center" readingOrder="0" shrinkToFit="0" vertical="center" wrapText="1"/>
    </xf>
    <xf borderId="1" fillId="0" fontId="35" numFmtId="0" xfId="0" applyAlignment="1" applyBorder="1" applyFont="1">
      <alignment horizontal="center" readingOrder="0" shrinkToFit="0" vertical="center" wrapText="1"/>
    </xf>
    <xf borderId="1" fillId="6" fontId="3" numFmtId="0" xfId="0" applyAlignment="1" applyBorder="1" applyFont="1">
      <alignment horizontal="center" readingOrder="0" shrinkToFit="0" vertical="center" wrapText="1"/>
    </xf>
    <xf borderId="1" fillId="6" fontId="33" numFmtId="0" xfId="0" applyAlignment="1" applyBorder="1" applyFont="1">
      <alignment readingOrder="0" shrinkToFit="0" vertical="center" wrapText="1"/>
    </xf>
    <xf borderId="1" fillId="6" fontId="1" numFmtId="0" xfId="0" applyAlignment="1" applyBorder="1" applyFont="1">
      <alignment readingOrder="0" shrinkToFit="0" vertical="center" wrapText="1"/>
    </xf>
    <xf borderId="1" fillId="0" fontId="36" numFmtId="0" xfId="0" applyAlignment="1" applyBorder="1" applyFont="1">
      <alignment horizontal="center" readingOrder="0" shrinkToFit="0" vertical="center" wrapText="1"/>
    </xf>
    <xf borderId="1" fillId="6" fontId="37" numFmtId="0" xfId="0" applyAlignment="1" applyBorder="1" applyFont="1">
      <alignment horizontal="center" readingOrder="0" shrinkToFit="0" vertical="center" wrapText="1"/>
    </xf>
    <xf borderId="2" fillId="0" fontId="38" numFmtId="0" xfId="0" applyAlignment="1" applyBorder="1" applyFont="1">
      <alignment horizontal="center" readingOrder="0" shrinkToFit="0" vertical="center" wrapText="1"/>
    </xf>
    <xf borderId="1" fillId="0" fontId="3" numFmtId="0" xfId="0" applyAlignment="1" applyBorder="1" applyFont="1">
      <alignment horizontal="center" readingOrder="0" shrinkToFit="0" vertical="center" wrapText="1"/>
    </xf>
    <xf borderId="1" fillId="0" fontId="5" numFmtId="0" xfId="0" applyAlignment="1" applyBorder="1" applyFont="1">
      <alignment horizontal="center" readingOrder="0" shrinkToFit="0" vertical="center" wrapText="1"/>
    </xf>
    <xf borderId="1" fillId="0" fontId="39" numFmtId="0" xfId="0" applyAlignment="1" applyBorder="1" applyFont="1">
      <alignment horizontal="center" readingOrder="0" shrinkToFit="0" vertical="center" wrapText="1"/>
    </xf>
    <xf borderId="1" fillId="0" fontId="33" numFmtId="0" xfId="0" applyAlignment="1" applyBorder="1" applyFont="1">
      <alignment shrinkToFit="0" vertical="center" wrapText="1"/>
    </xf>
    <xf borderId="1" fillId="0" fontId="2" numFmtId="0" xfId="0" applyAlignment="1" applyBorder="1" applyFont="1">
      <alignment horizontal="center" readingOrder="0" shrinkToFit="0" vertical="center" wrapText="1"/>
    </xf>
    <xf borderId="1" fillId="9" fontId="30" numFmtId="0" xfId="0" applyAlignment="1" applyBorder="1" applyFill="1" applyFont="1">
      <alignment horizontal="center" readingOrder="0" shrinkToFit="0" vertical="center" wrapText="0"/>
    </xf>
    <xf borderId="4" fillId="0" fontId="1" numFmtId="0" xfId="0" applyAlignment="1" applyBorder="1" applyFont="1">
      <alignment horizontal="center" readingOrder="0" shrinkToFit="0" vertical="center" wrapText="1"/>
    </xf>
    <xf borderId="1" fillId="7" fontId="2" numFmtId="0" xfId="0" applyAlignment="1" applyBorder="1" applyFont="1">
      <alignment horizontal="center" readingOrder="0" shrinkToFit="0" vertical="center" wrapText="1"/>
    </xf>
    <xf borderId="1" fillId="10" fontId="3" numFmtId="0" xfId="0" applyAlignment="1" applyBorder="1" applyFill="1" applyFont="1">
      <alignment horizontal="center" readingOrder="0" shrinkToFit="0" vertical="center" wrapText="1"/>
    </xf>
    <xf borderId="1" fillId="10" fontId="1" numFmtId="0" xfId="0" applyAlignment="1" applyBorder="1" applyFont="1">
      <alignment horizontal="center" readingOrder="0" shrinkToFit="0" vertical="center" wrapText="1"/>
    </xf>
    <xf borderId="1" fillId="10" fontId="4" numFmtId="0" xfId="0" applyAlignment="1" applyBorder="1" applyFont="1">
      <alignment horizontal="center" readingOrder="0" shrinkToFit="0" vertical="center" wrapText="1"/>
    </xf>
    <xf borderId="1" fillId="10" fontId="5" numFmtId="0" xfId="0" applyAlignment="1" applyBorder="1" applyFont="1">
      <alignment horizontal="center" readingOrder="0" shrinkToFit="0" vertical="center" wrapText="1"/>
    </xf>
    <xf borderId="1" fillId="10" fontId="1" numFmtId="0" xfId="0" applyAlignment="1" applyBorder="1" applyFont="1">
      <alignment horizontal="center" readingOrder="0" shrinkToFit="0" vertical="center" wrapText="1"/>
    </xf>
    <xf borderId="1" fillId="10" fontId="1" numFmtId="0" xfId="0" applyAlignment="1" applyBorder="1" applyFont="1">
      <alignment horizontal="center" readingOrder="0" shrinkToFit="0" vertical="center" wrapText="1"/>
    </xf>
    <xf borderId="1" fillId="10" fontId="33" numFmtId="0" xfId="0" applyAlignment="1" applyBorder="1" applyFont="1">
      <alignment readingOrder="0" shrinkToFit="0" vertical="center" wrapText="1"/>
    </xf>
    <xf borderId="1" fillId="10" fontId="1" numFmtId="0" xfId="0" applyAlignment="1" applyBorder="1" applyFont="1">
      <alignment horizontal="center" readingOrder="0" shrinkToFit="0" vertical="center" wrapText="1"/>
    </xf>
    <xf borderId="1" fillId="10" fontId="40" numFmtId="0" xfId="0" applyAlignment="1" applyBorder="1" applyFont="1">
      <alignment horizontal="center" readingOrder="0" shrinkToFit="0" vertical="center" wrapText="1"/>
    </xf>
    <xf borderId="0" fillId="10" fontId="1" numFmtId="0" xfId="0" applyAlignment="1" applyFont="1">
      <alignment horizontal="center" readingOrder="0" shrinkToFit="0" vertical="center" wrapText="1"/>
    </xf>
    <xf borderId="1" fillId="6" fontId="41" numFmtId="0" xfId="0" applyAlignment="1" applyBorder="1" applyFont="1">
      <alignment horizontal="center" readingOrder="0" shrinkToFit="0" vertical="center" wrapText="1"/>
    </xf>
    <xf borderId="1" fillId="0" fontId="1" numFmtId="0" xfId="0" applyAlignment="1" applyBorder="1" applyFont="1">
      <alignment shrinkToFit="0" vertical="center" wrapText="1"/>
    </xf>
    <xf borderId="1" fillId="0" fontId="41" numFmtId="0" xfId="0" applyAlignment="1" applyBorder="1" applyFont="1">
      <alignment horizontal="center" readingOrder="0" shrinkToFit="0" vertical="center" wrapText="1"/>
    </xf>
    <xf borderId="1" fillId="8" fontId="42" numFmtId="0" xfId="0" applyAlignment="1" applyBorder="1" applyFont="1">
      <alignment readingOrder="0" shrinkToFit="0" vertical="center" wrapText="1"/>
    </xf>
    <xf borderId="1" fillId="8" fontId="42" numFmtId="0" xfId="0" applyAlignment="1" applyBorder="1" applyFont="1">
      <alignment horizontal="center" readingOrder="0" shrinkToFit="0" vertical="center" wrapText="1"/>
    </xf>
    <xf borderId="1" fillId="8" fontId="43" numFmtId="0" xfId="0" applyAlignment="1" applyBorder="1" applyFont="1">
      <alignment horizontal="center" readingOrder="0" shrinkToFit="0" vertical="center" wrapText="1"/>
    </xf>
    <xf borderId="1" fillId="8" fontId="42" numFmtId="0" xfId="0" applyAlignment="1" applyBorder="1" applyFont="1">
      <alignment readingOrder="0" shrinkToFit="0" vertical="center" wrapText="1"/>
    </xf>
    <xf borderId="1" fillId="8" fontId="42" numFmtId="0" xfId="0" applyAlignment="1" applyBorder="1" applyFont="1">
      <alignment readingOrder="0" shrinkToFit="0" vertical="center" wrapText="1"/>
    </xf>
    <xf borderId="1" fillId="8" fontId="44" numFmtId="0" xfId="0" applyAlignment="1" applyBorder="1" applyFont="1">
      <alignment readingOrder="0" shrinkToFit="0" vertical="center" wrapText="1"/>
    </xf>
    <xf borderId="1" fillId="8" fontId="42" numFmtId="0" xfId="0" applyAlignment="1" applyBorder="1" applyFont="1">
      <alignment shrinkToFit="0" vertical="center" wrapText="1"/>
    </xf>
    <xf borderId="0" fillId="8" fontId="42" numFmtId="0" xfId="0" applyAlignment="1" applyFont="1">
      <alignment shrinkToFit="0" vertical="center" wrapText="1"/>
    </xf>
    <xf borderId="1" fillId="9" fontId="42" numFmtId="0" xfId="0" applyAlignment="1" applyBorder="1" applyFont="1">
      <alignment readingOrder="0" shrinkToFit="0" vertical="center" wrapText="1"/>
    </xf>
    <xf borderId="1" fillId="9" fontId="42" numFmtId="0" xfId="0" applyAlignment="1" applyBorder="1" applyFont="1">
      <alignment horizontal="center" readingOrder="0" shrinkToFit="0" vertical="center" wrapText="1"/>
    </xf>
    <xf borderId="1" fillId="9" fontId="43" numFmtId="0" xfId="0" applyAlignment="1" applyBorder="1" applyFont="1">
      <alignment horizontal="center" readingOrder="0" shrinkToFit="0" vertical="center" wrapText="1"/>
    </xf>
    <xf borderId="1" fillId="9" fontId="42" numFmtId="0" xfId="0" applyAlignment="1" applyBorder="1" applyFont="1">
      <alignment readingOrder="0" shrinkToFit="0" vertical="center" wrapText="1"/>
    </xf>
    <xf borderId="1" fillId="9" fontId="42" numFmtId="0" xfId="0" applyAlignment="1" applyBorder="1" applyFont="1">
      <alignment readingOrder="0" shrinkToFit="0" vertical="center" wrapText="1"/>
    </xf>
    <xf borderId="1" fillId="9" fontId="45" numFmtId="0" xfId="0" applyAlignment="1" applyBorder="1" applyFont="1">
      <alignment readingOrder="0" shrinkToFit="0" vertical="center" wrapText="1"/>
    </xf>
    <xf borderId="1" fillId="9" fontId="42" numFmtId="0" xfId="0" applyAlignment="1" applyBorder="1" applyFont="1">
      <alignment shrinkToFit="0" vertical="center" wrapText="1"/>
    </xf>
    <xf borderId="0" fillId="9" fontId="42" numFmtId="0" xfId="0" applyAlignment="1" applyFont="1">
      <alignment shrinkToFit="0" vertical="center" wrapText="1"/>
    </xf>
    <xf borderId="1" fillId="7" fontId="42" numFmtId="0" xfId="0" applyAlignment="1" applyBorder="1" applyFont="1">
      <alignment readingOrder="0" shrinkToFit="0" vertical="center" wrapText="1"/>
    </xf>
    <xf borderId="1" fillId="7" fontId="42" numFmtId="0" xfId="0" applyAlignment="1" applyBorder="1" applyFont="1">
      <alignment horizontal="center" readingOrder="0" shrinkToFit="0" vertical="center" wrapText="1"/>
    </xf>
    <xf borderId="1" fillId="7" fontId="43" numFmtId="0" xfId="0" applyAlignment="1" applyBorder="1" applyFont="1">
      <alignment horizontal="center" readingOrder="0" shrinkToFit="0" vertical="center" wrapText="1"/>
    </xf>
    <xf borderId="1" fillId="7" fontId="42" numFmtId="0" xfId="0" applyAlignment="1" applyBorder="1" applyFont="1">
      <alignment readingOrder="0" shrinkToFit="0" vertical="center" wrapText="1"/>
    </xf>
    <xf borderId="1" fillId="7" fontId="42" numFmtId="0" xfId="0" applyAlignment="1" applyBorder="1" applyFont="1">
      <alignment readingOrder="0" shrinkToFit="0" vertical="center" wrapText="1"/>
    </xf>
    <xf borderId="1" fillId="7" fontId="42" numFmtId="0" xfId="0" applyAlignment="1" applyBorder="1" applyFont="1">
      <alignment shrinkToFit="0" vertical="center" wrapText="1"/>
    </xf>
    <xf borderId="0" fillId="7" fontId="42" numFmtId="0" xfId="0" applyAlignment="1" applyFont="1">
      <alignment shrinkToFit="0" vertical="center" wrapText="1"/>
    </xf>
    <xf borderId="1" fillId="7" fontId="42" numFmtId="0" xfId="0" applyAlignment="1" applyBorder="1" applyFont="1">
      <alignment horizontal="center" readingOrder="0" shrinkToFit="0" vertical="center" wrapText="1"/>
    </xf>
    <xf borderId="1" fillId="7" fontId="46" numFmtId="0" xfId="0" applyAlignment="1" applyBorder="1" applyFont="1">
      <alignment readingOrder="0" shrinkToFit="0" vertical="center" wrapText="1"/>
    </xf>
    <xf borderId="1" fillId="9" fontId="47" numFmtId="0" xfId="0" applyAlignment="1" applyBorder="1" applyFont="1">
      <alignment horizontal="center" readingOrder="0" shrinkToFit="0" vertical="center" wrapText="1"/>
    </xf>
    <xf borderId="1" fillId="9" fontId="42" numFmtId="0" xfId="0" applyAlignment="1" applyBorder="1" applyFont="1">
      <alignment horizontal="center" readingOrder="0" shrinkToFit="0" vertical="center" wrapText="1"/>
    </xf>
    <xf borderId="1" fillId="9" fontId="42" numFmtId="0" xfId="0" applyAlignment="1" applyBorder="1" applyFont="1">
      <alignment horizontal="center" readingOrder="0" shrinkToFit="0" vertical="center" wrapText="1"/>
    </xf>
    <xf borderId="1" fillId="8" fontId="42" numFmtId="0" xfId="0" applyAlignment="1" applyBorder="1" applyFont="1">
      <alignment horizontal="center" readingOrder="0" shrinkToFit="0" vertical="center" wrapText="1"/>
    </xf>
    <xf borderId="1" fillId="8" fontId="42" numFmtId="0" xfId="0" applyAlignment="1" applyBorder="1" applyFont="1">
      <alignment horizontal="center" readingOrder="0" shrinkToFit="0" vertical="center" wrapText="1"/>
    </xf>
    <xf borderId="1" fillId="11" fontId="42" numFmtId="0" xfId="0" applyAlignment="1" applyBorder="1" applyFill="1" applyFont="1">
      <alignment horizontal="center" readingOrder="0" shrinkToFit="0" vertical="center" wrapText="1"/>
    </xf>
    <xf borderId="1" fillId="11" fontId="4" numFmtId="0" xfId="0" applyAlignment="1" applyBorder="1" applyFont="1">
      <alignment horizontal="center" readingOrder="0" shrinkToFit="0" vertical="center" wrapText="1"/>
    </xf>
    <xf borderId="1" fillId="11" fontId="42" numFmtId="0" xfId="0" applyAlignment="1" applyBorder="1" applyFont="1">
      <alignment horizontal="left" readingOrder="0" shrinkToFit="0" vertical="center" wrapText="1"/>
    </xf>
    <xf borderId="1" fillId="11" fontId="42" numFmtId="0" xfId="0" applyAlignment="1" applyBorder="1" applyFont="1">
      <alignment readingOrder="0" shrinkToFit="0" vertical="center" wrapText="1"/>
    </xf>
    <xf borderId="1" fillId="11" fontId="42" numFmtId="0" xfId="0" applyAlignment="1" applyBorder="1" applyFont="1">
      <alignment readingOrder="0" shrinkToFit="0" vertical="center" wrapText="1"/>
    </xf>
    <xf borderId="1" fillId="11" fontId="42" numFmtId="0" xfId="0" applyAlignment="1" applyBorder="1" applyFont="1">
      <alignment readingOrder="0" shrinkToFit="0" vertical="center" wrapText="1"/>
    </xf>
    <xf borderId="1" fillId="11" fontId="48" numFmtId="0" xfId="0" applyAlignment="1" applyBorder="1" applyFont="1">
      <alignment readingOrder="0" shrinkToFit="0" vertical="center" wrapText="1"/>
    </xf>
    <xf borderId="1" fillId="11" fontId="42" numFmtId="0" xfId="0" applyAlignment="1" applyBorder="1" applyFont="1">
      <alignment shrinkToFit="0" vertical="center" wrapText="1"/>
    </xf>
    <xf borderId="0" fillId="11" fontId="42" numFmtId="0" xfId="0" applyAlignment="1" applyFont="1">
      <alignment shrinkToFit="0" vertical="center" wrapText="1"/>
    </xf>
    <xf borderId="1" fillId="8" fontId="42" numFmtId="0" xfId="0" applyAlignment="1" applyBorder="1" applyFont="1">
      <alignment horizontal="center" shrinkToFit="0" vertical="center" wrapText="1"/>
    </xf>
    <xf borderId="1" fillId="8" fontId="49" numFmtId="0" xfId="0" applyAlignment="1" applyBorder="1" applyFont="1">
      <alignment horizontal="center" shrinkToFit="0" vertical="center" wrapText="1"/>
    </xf>
    <xf borderId="1" fillId="8" fontId="42" numFmtId="0" xfId="0" applyAlignment="1" applyBorder="1" applyFont="1">
      <alignment shrinkToFit="0" vertical="center" wrapText="1"/>
    </xf>
    <xf borderId="1" fillId="8" fontId="42" numFmtId="0" xfId="0" applyAlignment="1" applyBorder="1" applyFont="1">
      <alignment shrinkToFit="0" vertical="center" wrapText="1"/>
    </xf>
    <xf borderId="1" fillId="8" fontId="50" numFmtId="0" xfId="0" applyAlignment="1" applyBorder="1" applyFont="1">
      <alignment readingOrder="0" shrinkToFit="0" vertical="center" wrapText="1"/>
    </xf>
    <xf borderId="1" fillId="0" fontId="1" numFmtId="0" xfId="0" applyAlignment="1" applyBorder="1" applyFont="1">
      <alignment horizontal="center" shrinkToFit="0" vertical="center" wrapText="1"/>
    </xf>
    <xf borderId="1" fillId="9" fontId="42" numFmtId="0" xfId="0" applyAlignment="1" applyBorder="1" applyFont="1">
      <alignment horizontal="center" shrinkToFit="0" vertical="center" wrapText="1"/>
    </xf>
    <xf borderId="1" fillId="9" fontId="51" numFmtId="0" xfId="0" applyAlignment="1" applyBorder="1" applyFont="1">
      <alignment horizontal="center" shrinkToFit="0" vertical="center" wrapText="1"/>
    </xf>
    <xf borderId="1" fillId="9" fontId="42" numFmtId="0" xfId="0" applyAlignment="1" applyBorder="1" applyFont="1">
      <alignment shrinkToFit="0" vertical="center" wrapText="1"/>
    </xf>
    <xf borderId="1" fillId="9" fontId="42" numFmtId="0" xfId="0" applyAlignment="1" applyBorder="1" applyFont="1">
      <alignment shrinkToFit="0" vertical="center" wrapText="1"/>
    </xf>
    <xf borderId="1" fillId="9" fontId="42" numFmtId="0" xfId="0" applyAlignment="1" applyBorder="1" applyFont="1">
      <alignment shrinkToFit="0" vertical="center" wrapText="1"/>
    </xf>
    <xf borderId="1" fillId="9" fontId="52" numFmtId="0" xfId="0" applyAlignment="1" applyBorder="1" applyFont="1">
      <alignment readingOrder="0" shrinkToFit="0" vertical="center" wrapText="1"/>
    </xf>
    <xf borderId="0" fillId="9" fontId="42" numFmtId="0" xfId="0" applyAlignment="1" applyFont="1">
      <alignment readingOrder="0" shrinkToFit="0" vertical="center" wrapText="1"/>
    </xf>
    <xf borderId="1" fillId="7" fontId="1" numFmtId="0" xfId="0" applyAlignment="1" applyBorder="1" applyFont="1">
      <alignment horizontal="center" shrinkToFit="0" vertical="center" wrapText="1"/>
    </xf>
    <xf borderId="1" fillId="7" fontId="53" numFmtId="0" xfId="0" applyAlignment="1" applyBorder="1" applyFont="1">
      <alignment horizontal="center" readingOrder="0" shrinkToFit="0" vertical="center" wrapText="1"/>
    </xf>
    <xf borderId="1" fillId="7" fontId="1" numFmtId="0" xfId="0" applyAlignment="1" applyBorder="1" applyFont="1">
      <alignment readingOrder="0" shrinkToFit="0" vertical="center" wrapText="1"/>
    </xf>
    <xf borderId="1" fillId="7" fontId="1" numFmtId="0" xfId="0" applyAlignment="1" applyBorder="1" applyFont="1">
      <alignment readingOrder="0" shrinkToFit="0" vertical="center" wrapText="1"/>
    </xf>
    <xf borderId="1" fillId="7" fontId="54" numFmtId="0" xfId="0" applyAlignment="1" applyBorder="1" applyFont="1">
      <alignment readingOrder="0" shrinkToFit="0" vertical="center" wrapText="1"/>
    </xf>
    <xf borderId="1" fillId="0" fontId="1" numFmtId="0" xfId="0" applyAlignment="1" applyBorder="1" applyFont="1">
      <alignment readingOrder="0" shrinkToFit="0" vertical="center" wrapText="1"/>
    </xf>
    <xf borderId="1" fillId="0" fontId="1" numFmtId="0" xfId="0" applyAlignment="1" applyBorder="1" applyFont="1">
      <alignment readingOrder="0" shrinkToFit="0" vertical="center" wrapText="1"/>
    </xf>
    <xf borderId="1" fillId="0" fontId="55" numFmtId="0" xfId="0" applyAlignment="1" applyBorder="1" applyFont="1">
      <alignment readingOrder="0" shrinkToFit="0" vertical="center" wrapText="1"/>
    </xf>
    <xf borderId="0" fillId="0" fontId="1" numFmtId="0" xfId="0" applyAlignment="1" applyFont="1">
      <alignment readingOrder="0" shrinkToFit="0" vertical="center" wrapText="1"/>
    </xf>
    <xf borderId="1" fillId="0" fontId="56" numFmtId="0" xfId="0" applyAlignment="1" applyBorder="1" applyFont="1">
      <alignment readingOrder="0" shrinkToFit="0" vertical="center" wrapText="1"/>
    </xf>
    <xf borderId="0" fillId="8" fontId="42" numFmtId="0" xfId="0" applyAlignment="1" applyFont="1">
      <alignment readingOrder="0" shrinkToFit="0" vertical="center" wrapText="1"/>
    </xf>
    <xf borderId="1" fillId="8" fontId="57" numFmtId="0" xfId="0" applyAlignment="1" applyBorder="1" applyFont="1">
      <alignment horizontal="center" readingOrder="0" shrinkToFit="0" vertical="center" wrapText="1"/>
    </xf>
    <xf borderId="1" fillId="8" fontId="42" numFmtId="0" xfId="0" applyAlignment="1" applyBorder="1" applyFont="1">
      <alignment readingOrder="0" shrinkToFit="0" vertical="center" wrapText="1"/>
    </xf>
    <xf borderId="1" fillId="8" fontId="58" numFmtId="0" xfId="0" applyAlignment="1" applyBorder="1" applyFont="1">
      <alignment readingOrder="0" shrinkToFit="0" vertical="center" wrapText="1"/>
    </xf>
    <xf borderId="1" fillId="8" fontId="42" numFmtId="0" xfId="0" applyAlignment="1" applyBorder="1" applyFont="1">
      <alignment readingOrder="0" shrinkToFit="0" vertical="center" wrapText="1"/>
    </xf>
    <xf borderId="1" fillId="0" fontId="59" numFmtId="0" xfId="0" applyAlignment="1" applyBorder="1" applyFont="1">
      <alignment horizontal="center" readingOrder="0" shrinkToFit="0" vertical="center" wrapText="1"/>
    </xf>
    <xf borderId="1" fillId="0" fontId="59" numFmtId="0" xfId="0" applyAlignment="1" applyBorder="1" applyFont="1">
      <alignment readingOrder="0" shrinkToFit="0" vertical="center" wrapText="1"/>
    </xf>
    <xf borderId="1" fillId="0" fontId="59" numFmtId="0" xfId="0" applyAlignment="1" applyBorder="1" applyFont="1">
      <alignment horizontal="center" readingOrder="0" shrinkToFit="0" vertical="center" wrapText="1"/>
    </xf>
    <xf borderId="1" fillId="0" fontId="60" numFmtId="0" xfId="0" applyAlignment="1" applyBorder="1" applyFont="1">
      <alignment readingOrder="0" shrinkToFit="0" vertical="center" wrapText="1"/>
    </xf>
    <xf borderId="1" fillId="0" fontId="59" numFmtId="0" xfId="0" applyAlignment="1" applyBorder="1" applyFont="1">
      <alignment shrinkToFit="0" vertical="center" wrapText="1"/>
    </xf>
    <xf borderId="0" fillId="0" fontId="59" numFmtId="0" xfId="0" applyAlignment="1" applyFont="1">
      <alignment shrinkToFit="0" vertical="center" wrapText="1"/>
    </xf>
    <xf borderId="1" fillId="8" fontId="61" numFmtId="0" xfId="0" applyAlignment="1" applyBorder="1" applyFont="1">
      <alignment readingOrder="0" shrinkToFit="0" vertical="center" wrapText="1"/>
    </xf>
    <xf borderId="1" fillId="6" fontId="42" numFmtId="0" xfId="0" applyAlignment="1" applyBorder="1" applyFont="1">
      <alignment horizontal="center" readingOrder="0" shrinkToFit="0" vertical="center" wrapText="1"/>
    </xf>
    <xf borderId="1" fillId="6" fontId="42" numFmtId="0" xfId="0" applyAlignment="1" applyBorder="1" applyFont="1">
      <alignment horizontal="center" shrinkToFit="0" vertical="center" wrapText="1"/>
    </xf>
    <xf borderId="1" fillId="6" fontId="42" numFmtId="0" xfId="0" applyAlignment="1" applyBorder="1" applyFont="1">
      <alignment horizontal="center" readingOrder="0" shrinkToFit="0" vertical="center" wrapText="1"/>
    </xf>
    <xf borderId="1" fillId="6" fontId="42" numFmtId="0" xfId="0" applyAlignment="1" applyBorder="1" applyFont="1">
      <alignment readingOrder="0" shrinkToFit="0" vertical="center" wrapText="1"/>
    </xf>
    <xf borderId="1" fillId="6" fontId="42" numFmtId="0" xfId="0" applyAlignment="1" applyBorder="1" applyFont="1">
      <alignment readingOrder="0" shrinkToFit="0" vertical="center" wrapText="1"/>
    </xf>
    <xf borderId="1" fillId="6" fontId="62" numFmtId="0" xfId="0" applyAlignment="1" applyBorder="1" applyFont="1">
      <alignment readingOrder="0" shrinkToFit="0" vertical="center" wrapText="1"/>
    </xf>
    <xf borderId="0" fillId="6" fontId="42" numFmtId="0" xfId="0" applyAlignment="1" applyFont="1">
      <alignment readingOrder="0" shrinkToFit="0" vertical="center" wrapText="1"/>
    </xf>
    <xf borderId="1" fillId="8" fontId="42" numFmtId="0" xfId="0" applyAlignment="1" applyBorder="1" applyFont="1">
      <alignment readingOrder="0" shrinkToFit="0" vertical="center" wrapText="1"/>
    </xf>
    <xf borderId="1" fillId="8" fontId="42" numFmtId="0" xfId="0" applyAlignment="1" applyBorder="1" applyFont="1">
      <alignment readingOrder="0" shrinkToFit="0" vertical="center" wrapText="1"/>
    </xf>
    <xf borderId="1" fillId="9" fontId="42" numFmtId="0" xfId="0" applyAlignment="1" applyBorder="1" applyFont="1">
      <alignment readingOrder="0" shrinkToFit="0" vertical="center" wrapText="1"/>
    </xf>
    <xf borderId="1" fillId="9" fontId="63" numFmtId="0" xfId="0" applyAlignment="1" applyBorder="1" applyFont="1">
      <alignment readingOrder="0" shrinkToFit="0" vertical="center" wrapText="1"/>
    </xf>
    <xf borderId="1" fillId="9" fontId="64" numFmtId="0" xfId="0" applyAlignment="1" applyBorder="1" applyFont="1">
      <alignment readingOrder="0" shrinkToFit="0" vertical="center" wrapText="1"/>
    </xf>
    <xf borderId="1" fillId="8" fontId="42" numFmtId="0" xfId="0" applyAlignment="1" applyBorder="1" applyFont="1">
      <alignment horizontal="center" readingOrder="0" shrinkToFit="0" vertical="center" wrapText="1"/>
    </xf>
    <xf borderId="1" fillId="8" fontId="42" numFmtId="0" xfId="0" applyAlignment="1" applyBorder="1" applyFont="1">
      <alignment horizontal="center" readingOrder="0" shrinkToFit="0" vertical="center" wrapText="1"/>
    </xf>
    <xf borderId="1" fillId="0" fontId="1" numFmtId="0" xfId="0" applyAlignment="1" applyBorder="1" applyFont="1">
      <alignment horizontal="center" readingOrder="0" shrinkToFit="0" vertical="center" wrapText="1"/>
    </xf>
    <xf borderId="1" fillId="0" fontId="1" numFmtId="0" xfId="0" applyAlignment="1" applyBorder="1" applyFont="1">
      <alignment horizontal="center" readingOrder="0" shrinkToFit="0" vertical="center" wrapText="1"/>
    </xf>
    <xf borderId="1" fillId="0" fontId="1" numFmtId="0" xfId="0" applyAlignment="1" applyBorder="1" applyFont="1">
      <alignment horizontal="center" shrinkToFit="0" vertical="center" wrapText="1"/>
    </xf>
    <xf borderId="1" fillId="9" fontId="65" numFmtId="0" xfId="0" applyAlignment="1" applyBorder="1" applyFont="1">
      <alignment horizontal="center" shrinkToFit="0" vertical="center" wrapText="1"/>
    </xf>
    <xf borderId="1" fillId="9" fontId="65" numFmtId="0" xfId="0" applyAlignment="1" applyBorder="1" applyFont="1">
      <alignment horizontal="center" shrinkToFit="0" vertical="center" wrapText="1"/>
    </xf>
    <xf borderId="1" fillId="9" fontId="65" numFmtId="0" xfId="0" applyAlignment="1" applyBorder="1" applyFont="1">
      <alignment horizontal="center" shrinkToFit="0" vertical="center" wrapText="1"/>
    </xf>
    <xf borderId="1" fillId="9" fontId="65" numFmtId="0" xfId="0" applyAlignment="1" applyBorder="1" applyFont="1">
      <alignment shrinkToFit="0" vertical="center" wrapText="1"/>
    </xf>
    <xf borderId="1" fillId="9" fontId="65" numFmtId="0" xfId="0" applyAlignment="1" applyBorder="1" applyFont="1">
      <alignment shrinkToFit="0" vertical="center" wrapText="1"/>
    </xf>
    <xf borderId="0" fillId="9" fontId="65" numFmtId="0" xfId="0" applyAlignment="1" applyFont="1">
      <alignment shrinkToFit="0" vertical="center" wrapText="1"/>
    </xf>
    <xf borderId="1" fillId="0" fontId="1" numFmtId="0" xfId="0" applyAlignment="1" applyBorder="1" applyFont="1">
      <alignment readingOrder="0" shrinkToFit="0" vertical="center" wrapText="1"/>
    </xf>
    <xf borderId="0" fillId="0" fontId="1" numFmtId="0" xfId="0" applyAlignment="1" applyFont="1">
      <alignment shrinkToFit="0" vertical="center" wrapText="1"/>
    </xf>
    <xf borderId="1" fillId="8" fontId="42" numFmtId="0" xfId="0" applyAlignment="1" applyBorder="1" applyFont="1">
      <alignment horizontal="center" readingOrder="0" shrinkToFit="0" wrapText="1"/>
    </xf>
    <xf borderId="1" fillId="8" fontId="42" numFmtId="0" xfId="0" applyAlignment="1" applyBorder="1" applyFont="1">
      <alignment horizontal="center" readingOrder="0" shrinkToFit="0" vertical="center" wrapText="1"/>
    </xf>
    <xf borderId="1" fillId="8" fontId="66" numFmtId="0" xfId="0" applyAlignment="1" applyBorder="1" applyFont="1">
      <alignment readingOrder="0" shrinkToFit="0" vertical="center" wrapText="1"/>
    </xf>
    <xf borderId="1" fillId="8" fontId="42" numFmtId="0" xfId="0" applyAlignment="1" applyBorder="1" applyFont="1">
      <alignment readingOrder="0" shrinkToFit="0" vertical="center" wrapText="1"/>
    </xf>
    <xf borderId="0" fillId="8" fontId="42" numFmtId="0" xfId="0" applyAlignment="1" applyFont="1">
      <alignment readingOrder="0" shrinkToFit="0" vertical="center" wrapText="1"/>
    </xf>
    <xf borderId="1" fillId="9" fontId="42" numFmtId="0" xfId="0" applyAlignment="1" applyBorder="1" applyFont="1">
      <alignment horizontal="center" readingOrder="0" shrinkToFit="0" wrapText="1"/>
    </xf>
    <xf borderId="1" fillId="9" fontId="42" numFmtId="0" xfId="0" applyAlignment="1" applyBorder="1" applyFont="1">
      <alignment horizontal="center" readingOrder="0" shrinkToFit="0" vertical="center" wrapText="1"/>
    </xf>
    <xf borderId="1" fillId="9" fontId="67" numFmtId="0" xfId="0" applyAlignment="1" applyBorder="1" applyFont="1">
      <alignment readingOrder="0" shrinkToFit="0" vertical="center" wrapText="1"/>
    </xf>
    <xf borderId="1" fillId="9" fontId="42" numFmtId="0" xfId="0" applyAlignment="1" applyBorder="1" applyFont="1">
      <alignment readingOrder="0" shrinkToFit="0" vertical="center" wrapText="1"/>
    </xf>
    <xf borderId="0" fillId="9" fontId="42" numFmtId="0" xfId="0" applyAlignment="1" applyFont="1">
      <alignment readingOrder="0" shrinkToFit="0" vertical="center" wrapText="1"/>
    </xf>
    <xf borderId="1" fillId="9" fontId="42" numFmtId="0" xfId="0" applyAlignment="1" applyBorder="1" applyFont="1">
      <alignment horizontal="center" readingOrder="0" shrinkToFit="0" vertical="center" wrapText="1"/>
    </xf>
    <xf borderId="1" fillId="0" fontId="68" numFmtId="0" xfId="0" applyAlignment="1" applyBorder="1" applyFont="1">
      <alignment horizontal="center" readingOrder="0" vertical="center"/>
    </xf>
    <xf borderId="1" fillId="8" fontId="69" numFmtId="0" xfId="0" applyAlignment="1" applyBorder="1" applyFont="1">
      <alignment readingOrder="0" shrinkToFit="0" vertical="center" wrapText="1"/>
    </xf>
    <xf borderId="1" fillId="8" fontId="42" numFmtId="0" xfId="0" applyAlignment="1" applyBorder="1" applyFont="1">
      <alignment shrinkToFit="0" vertical="center" wrapText="1"/>
    </xf>
    <xf borderId="1" fillId="8" fontId="70" numFmtId="0" xfId="0" applyAlignment="1" applyBorder="1" applyFont="1">
      <alignment readingOrder="0" shrinkToFit="0" vertical="center" wrapText="1"/>
    </xf>
    <xf borderId="0" fillId="0" fontId="1" numFmtId="0" xfId="0" applyAlignment="1" applyFont="1">
      <alignment horizontal="center" readingOrder="0" shrinkToFit="0" vertical="center" wrapText="1"/>
    </xf>
    <xf borderId="1" fillId="0" fontId="68" numFmtId="0" xfId="0" applyAlignment="1" applyBorder="1" applyFont="1">
      <alignment horizontal="center" readingOrder="0" shrinkToFit="0" vertical="center" wrapText="1"/>
    </xf>
    <xf borderId="1" fillId="0" fontId="1" numFmtId="0" xfId="0" applyAlignment="1" applyBorder="1" applyFont="1">
      <alignment readingOrder="0" shrinkToFit="0" wrapText="1"/>
    </xf>
    <xf borderId="1" fillId="0" fontId="1" numFmtId="0" xfId="0" applyAlignment="1" applyBorder="1" applyFont="1">
      <alignment readingOrder="0" shrinkToFit="0" vertical="center" wrapText="1"/>
    </xf>
    <xf borderId="1" fillId="0" fontId="71" numFmtId="0" xfId="0" applyAlignment="1" applyBorder="1" applyFont="1">
      <alignment readingOrder="0" shrinkToFit="0" vertical="center" wrapText="1"/>
    </xf>
    <xf borderId="1" fillId="0" fontId="5" numFmtId="0" xfId="0" applyAlignment="1" applyBorder="1" applyFont="1">
      <alignment horizontal="center" readingOrder="0" shrinkToFit="0" vertical="center" wrapText="1"/>
    </xf>
    <xf borderId="1" fillId="9" fontId="47" numFmtId="0" xfId="0" applyAlignment="1" applyBorder="1" applyFont="1">
      <alignment horizontal="center" readingOrder="0" shrinkToFit="0" vertical="center" wrapText="1"/>
    </xf>
    <xf borderId="1" fillId="8" fontId="42" numFmtId="0" xfId="0" applyAlignment="1" applyBorder="1" applyFont="1">
      <alignment horizontal="center" shrinkToFit="0" vertical="center" wrapText="1"/>
    </xf>
    <xf borderId="1" fillId="8" fontId="42" numFmtId="0" xfId="0" applyAlignment="1" applyBorder="1" applyFont="1">
      <alignment horizontal="center" shrinkToFit="0" vertical="center" wrapText="1"/>
    </xf>
    <xf borderId="1" fillId="8" fontId="42" numFmtId="0" xfId="0" applyAlignment="1" applyBorder="1" applyFont="1">
      <alignment shrinkToFit="0" vertical="center" wrapText="1"/>
    </xf>
    <xf borderId="1" fillId="8" fontId="42" numFmtId="0" xfId="0" applyAlignment="1" applyBorder="1" applyFont="1">
      <alignment shrinkToFit="0" vertical="center" wrapText="1"/>
    </xf>
    <xf borderId="0" fillId="8" fontId="42" numFmtId="0" xfId="0" applyAlignment="1" applyFont="1">
      <alignment shrinkToFit="0" vertical="center" wrapText="1"/>
    </xf>
    <xf borderId="1" fillId="0" fontId="72" numFmtId="0" xfId="0" applyAlignment="1" applyBorder="1" applyFont="1">
      <alignment readingOrder="0" shrinkToFit="0" vertical="center" wrapText="1"/>
    </xf>
    <xf borderId="1" fillId="0" fontId="1" numFmtId="0" xfId="0" applyAlignment="1" applyBorder="1" applyFont="1">
      <alignment shrinkToFit="0" vertical="center" wrapText="1"/>
    </xf>
    <xf borderId="0" fillId="0" fontId="1" numFmtId="0" xfId="0" applyAlignment="1" applyFont="1">
      <alignment shrinkToFit="0" vertical="center" wrapText="1"/>
    </xf>
    <xf borderId="1" fillId="0" fontId="1" numFmtId="0" xfId="0" applyAlignment="1" applyBorder="1" applyFont="1">
      <alignment horizontal="center" shrinkToFit="0" vertical="center" wrapText="1"/>
    </xf>
    <xf borderId="1" fillId="0" fontId="73" numFmtId="0" xfId="0" applyAlignment="1" applyBorder="1" applyFont="1">
      <alignment horizontal="center" readingOrder="0" shrinkToFit="0" vertical="center" wrapText="1"/>
    </xf>
    <xf borderId="0" fillId="0" fontId="1" numFmtId="0" xfId="0" applyAlignment="1" applyFont="1">
      <alignment horizontal="center" readingOrder="0" shrinkToFit="0" vertical="center" wrapText="1"/>
    </xf>
    <xf borderId="0" fillId="0" fontId="1" numFmtId="0" xfId="0" applyAlignment="1" applyFont="1">
      <alignment readingOrder="0" shrinkToFit="0" wrapText="1"/>
    </xf>
    <xf borderId="1" fillId="9" fontId="47" numFmtId="0" xfId="0" applyAlignment="1" applyBorder="1" applyFont="1">
      <alignment horizontal="center" readingOrder="0" shrinkToFit="0" wrapText="1"/>
    </xf>
    <xf borderId="0" fillId="0" fontId="1" numFmtId="0" xfId="0" applyAlignment="1" applyFont="1">
      <alignment readingOrder="0" shrinkToFit="0" vertical="center" wrapText="1"/>
    </xf>
    <xf borderId="1" fillId="0" fontId="2" numFmtId="0" xfId="0" applyAlignment="1" applyBorder="1" applyFont="1">
      <alignment horizontal="center" shrinkToFit="0" vertical="center" wrapText="1"/>
    </xf>
    <xf borderId="0" fillId="0" fontId="2" numFmtId="0" xfId="0" applyAlignment="1" applyFont="1">
      <alignment horizontal="center" readingOrder="0" shrinkToFit="0" vertical="center" wrapText="1"/>
    </xf>
    <xf borderId="0" fillId="0" fontId="1" numFmtId="0" xfId="0" applyAlignment="1" applyFont="1">
      <alignment horizontal="center" shrinkToFit="0" vertical="center" wrapText="1"/>
    </xf>
    <xf borderId="0" fillId="0" fontId="2" numFmtId="0" xfId="0" applyAlignment="1" applyFont="1">
      <alignment horizontal="center" readingOrder="0" shrinkToFit="0" vertical="center" wrapText="1"/>
    </xf>
    <xf borderId="1" fillId="8" fontId="74" numFmtId="0" xfId="0" applyAlignment="1" applyBorder="1" applyFont="1">
      <alignment horizontal="center" readingOrder="0" shrinkToFit="0" vertical="center" wrapText="1"/>
    </xf>
    <xf borderId="0" fillId="0" fontId="2" numFmtId="0" xfId="0" applyAlignment="1" applyFont="1">
      <alignment horizontal="center" shrinkToFit="0" vertical="center" wrapText="1"/>
    </xf>
    <xf borderId="0" fillId="0" fontId="2" numFmtId="0" xfId="0" applyAlignment="1" applyFont="1">
      <alignment horizontal="center" shrinkToFit="0" vertical="center" wrapText="1"/>
    </xf>
    <xf borderId="0" fillId="0" fontId="75" numFmtId="0" xfId="0" applyAlignment="1" applyFont="1">
      <alignment horizontal="center" readingOrder="0" shrinkToFit="0" vertical="center" wrapText="1"/>
    </xf>
    <xf borderId="0" fillId="0" fontId="2" numFmtId="0" xfId="0" applyAlignment="1" applyFont="1">
      <alignment horizontal="center" shrinkToFit="0" vertical="center" wrapText="1"/>
    </xf>
    <xf borderId="0" fillId="8" fontId="74" numFmtId="0" xfId="0" applyAlignment="1" applyFont="1">
      <alignment horizontal="center" readingOrder="0" shrinkToFit="0" vertical="center" wrapText="1"/>
    </xf>
    <xf borderId="0" fillId="9" fontId="74" numFmtId="0" xfId="0" applyAlignment="1" applyFont="1">
      <alignment horizontal="center" shrinkToFit="0" vertical="center" wrapText="1"/>
    </xf>
    <xf borderId="0" fillId="9" fontId="74" numFmtId="0" xfId="0" applyAlignment="1" applyFont="1">
      <alignment horizontal="center" readingOrder="0" shrinkToFit="0" vertical="center" wrapText="1"/>
    </xf>
    <xf borderId="0" fillId="9" fontId="74" numFmtId="0" xfId="0" applyAlignment="1" applyFont="1">
      <alignment horizontal="center" shrinkToFit="0" vertical="center" wrapText="1"/>
    </xf>
    <xf borderId="0" fillId="9" fontId="74" numFmtId="0" xfId="0" applyAlignment="1" applyFont="1">
      <alignment horizontal="center" shrinkToFit="0" vertical="center" wrapText="1"/>
    </xf>
    <xf borderId="0" fillId="9" fontId="74" numFmtId="0" xfId="0" applyAlignment="1" applyFont="1">
      <alignment horizontal="center" shrinkToFit="0" vertical="center" wrapText="1"/>
    </xf>
    <xf borderId="1" fillId="9" fontId="74" numFmtId="0" xfId="0" applyAlignment="1" applyBorder="1" applyFont="1">
      <alignment horizontal="center" shrinkToFit="0" vertical="center" wrapText="1"/>
    </xf>
    <xf borderId="0" fillId="8" fontId="74" numFmtId="0" xfId="0" applyAlignment="1" applyFont="1">
      <alignment horizontal="center" shrinkToFit="0" vertical="center" wrapText="1"/>
    </xf>
    <xf borderId="0" fillId="8" fontId="74" numFmtId="0" xfId="0" applyAlignment="1" applyFont="1">
      <alignment horizontal="center" shrinkToFit="0" vertical="center" wrapText="1"/>
    </xf>
    <xf borderId="1" fillId="8" fontId="74" numFmtId="0" xfId="0" applyAlignment="1" applyBorder="1" applyFont="1">
      <alignment horizontal="center" shrinkToFit="0" vertical="center" wrapText="1"/>
    </xf>
    <xf borderId="0" fillId="9" fontId="76" numFmtId="0" xfId="0" applyAlignment="1" applyFont="1">
      <alignment horizontal="center" readingOrder="0" shrinkToFit="0" vertical="center" wrapText="1"/>
    </xf>
    <xf borderId="0" fillId="8" fontId="74" numFmtId="0" xfId="0" applyAlignment="1" applyFont="1">
      <alignment horizontal="center" shrinkToFit="0" vertical="center" wrapText="1"/>
    </xf>
    <xf borderId="0" fillId="8" fontId="74" numFmtId="0" xfId="0" applyAlignment="1" applyFont="1">
      <alignment horizontal="center" shrinkToFit="0" vertical="center" wrapText="1"/>
    </xf>
    <xf borderId="0" fillId="8" fontId="77" numFmtId="0" xfId="0" applyAlignment="1" applyFont="1">
      <alignment horizontal="center" readingOrder="0" shrinkToFit="0" vertical="center" wrapText="1"/>
    </xf>
    <xf borderId="0" fillId="0" fontId="2" numFmtId="0" xfId="0" applyAlignment="1" applyFont="1">
      <alignment horizontal="center" shrinkToFit="0" vertical="center" wrapText="1"/>
    </xf>
    <xf borderId="0" fillId="0" fontId="78" numFmtId="0" xfId="0" applyAlignment="1" applyFont="1">
      <alignment horizontal="center" readingOrder="0" shrinkToFit="0" vertical="center" wrapText="1"/>
    </xf>
    <xf borderId="0" fillId="0" fontId="79" numFmtId="0" xfId="0" applyAlignment="1" applyFont="1">
      <alignment horizontal="center" readingOrder="0" shrinkToFit="0" vertical="center" wrapText="1"/>
    </xf>
    <xf borderId="0" fillId="0" fontId="5" numFmtId="0" xfId="0" applyAlignment="1" applyFont="1">
      <alignment horizontal="center" readingOrder="0" shrinkToFit="0" vertical="center" wrapText="1"/>
    </xf>
    <xf borderId="0" fillId="9" fontId="42" numFmtId="0" xfId="0" applyAlignment="1" applyFont="1">
      <alignment horizontal="center" readingOrder="0" shrinkToFit="0" vertical="center" wrapText="1"/>
    </xf>
    <xf borderId="0" fillId="9" fontId="42" numFmtId="0" xfId="0" applyAlignment="1" applyFont="1">
      <alignment horizontal="center" shrinkToFit="0" vertical="center" wrapText="1"/>
    </xf>
    <xf borderId="0" fillId="9" fontId="42" numFmtId="0" xfId="0" applyAlignment="1" applyFont="1">
      <alignment horizontal="center" shrinkToFit="0" vertical="center" wrapText="1"/>
    </xf>
    <xf borderId="0" fillId="9" fontId="80" numFmtId="0" xfId="0" applyAlignment="1" applyFont="1">
      <alignment horizontal="center" readingOrder="0" shrinkToFit="0" vertical="center" wrapText="1"/>
    </xf>
    <xf borderId="1" fillId="9" fontId="42" numFmtId="0" xfId="0" applyAlignment="1" applyBorder="1" applyFont="1">
      <alignment horizontal="center" shrinkToFit="0" vertical="center" wrapText="1"/>
    </xf>
    <xf borderId="0" fillId="0" fontId="5" numFmtId="0" xfId="0" applyAlignment="1" applyFont="1">
      <alignment horizontal="center" readingOrder="0" shrinkToFit="0" vertical="center" wrapText="1"/>
    </xf>
    <xf borderId="1" fillId="8" fontId="74" numFmtId="0" xfId="0" applyAlignment="1" applyBorder="1" applyFont="1">
      <alignment horizontal="center" readingOrder="0" shrinkToFit="0" vertical="center" wrapText="1"/>
    </xf>
    <xf borderId="1" fillId="0" fontId="2" numFmtId="0" xfId="0" applyAlignment="1" applyBorder="1" applyFont="1">
      <alignment horizontal="center" readingOrder="0" shrinkToFit="0" vertical="center" wrapText="1"/>
    </xf>
    <xf borderId="1" fillId="8" fontId="74" numFmtId="0" xfId="0" applyAlignment="1" applyBorder="1" applyFont="1">
      <alignment horizontal="center" readingOrder="0" shrinkToFit="0" vertical="center" wrapText="1"/>
    </xf>
    <xf borderId="1" fillId="8" fontId="74" numFmtId="0" xfId="0" applyAlignment="1" applyBorder="1" applyFont="1">
      <alignment horizontal="center" readingOrder="0" shrinkToFit="0" vertical="center" wrapText="1"/>
    </xf>
    <xf borderId="1" fillId="8" fontId="81" numFmtId="0" xfId="0" applyAlignment="1" applyBorder="1" applyFont="1">
      <alignment horizontal="center" readingOrder="0" shrinkToFit="0" vertical="center" wrapText="1"/>
    </xf>
    <xf borderId="0" fillId="0" fontId="5" numFmtId="0" xfId="0" applyAlignment="1" applyFont="1">
      <alignment horizontal="center" readingOrder="0"/>
    </xf>
    <xf borderId="0" fillId="0" fontId="5" numFmtId="0" xfId="0" applyAlignment="1" applyFont="1">
      <alignment horizontal="right" readingOrder="0"/>
    </xf>
    <xf borderId="0" fillId="8" fontId="42" numFmtId="0" xfId="0" applyAlignment="1" applyFont="1">
      <alignment horizontal="center" readingOrder="0" shrinkToFit="0" vertical="center" wrapText="1"/>
    </xf>
    <xf borderId="1" fillId="8" fontId="42" numFmtId="0" xfId="0" applyAlignment="1" applyBorder="1" applyFont="1">
      <alignment horizontal="center" shrinkToFit="0" vertical="center" wrapText="1"/>
    </xf>
    <xf borderId="1" fillId="8" fontId="42" numFmtId="0" xfId="0" applyAlignment="1" applyBorder="1" applyFont="1">
      <alignment horizontal="center" readingOrder="0" shrinkToFit="0" vertical="center" wrapText="1"/>
    </xf>
    <xf borderId="1" fillId="8" fontId="82" numFmtId="0" xfId="0" applyAlignment="1" applyBorder="1" applyFont="1">
      <alignment horizontal="center" readingOrder="0" shrinkToFit="0" vertical="center" wrapText="1"/>
    </xf>
    <xf borderId="0" fillId="0" fontId="5" numFmtId="0" xfId="0" applyAlignment="1" applyFont="1">
      <alignment horizontal="center" readingOrder="0"/>
    </xf>
    <xf borderId="1" fillId="0" fontId="1" numFmtId="0" xfId="0" applyBorder="1" applyFont="1"/>
    <xf borderId="1" fillId="0" fontId="1" numFmtId="0" xfId="0" applyAlignment="1" applyBorder="1" applyFont="1">
      <alignment shrinkToFit="0" wrapText="1"/>
    </xf>
    <xf borderId="1" fillId="0" fontId="1" numFmtId="0" xfId="0" applyAlignment="1" applyBorder="1" applyFont="1">
      <alignment horizontal="center" readingOrder="0" shrinkToFit="0" wrapText="1"/>
    </xf>
    <xf borderId="1" fillId="0" fontId="1" numFmtId="0" xfId="0" applyAlignment="1" applyBorder="1" applyFont="1">
      <alignment readingOrder="0" shrinkToFit="0" wrapText="1"/>
    </xf>
    <xf borderId="1" fillId="0" fontId="1" numFmtId="0" xfId="0" applyAlignment="1" applyBorder="1" applyFont="1">
      <alignment readingOrder="0" shrinkToFit="0" wrapText="1"/>
    </xf>
    <xf borderId="1" fillId="0" fontId="1" numFmtId="0" xfId="0" applyAlignment="1" applyBorder="1" applyFont="1">
      <alignment readingOrder="0" shrinkToFit="0" wrapText="1"/>
    </xf>
    <xf borderId="1" fillId="0" fontId="59" numFmtId="0" xfId="0" applyAlignment="1" applyBorder="1" applyFont="1">
      <alignment horizontal="center" readingOrder="0" shrinkToFit="0" wrapText="1"/>
    </xf>
    <xf borderId="1" fillId="0" fontId="59" numFmtId="0" xfId="0" applyAlignment="1" applyBorder="1" applyFont="1">
      <alignment readingOrder="0" shrinkToFit="0" wrapText="1"/>
    </xf>
    <xf borderId="1" fillId="0" fontId="59" numFmtId="0" xfId="0" applyAlignment="1" applyBorder="1" applyFont="1">
      <alignment readingOrder="0" shrinkToFit="0" wrapText="1"/>
    </xf>
    <xf borderId="1" fillId="0" fontId="59" numFmtId="0" xfId="0" applyAlignment="1" applyBorder="1" applyFont="1">
      <alignment readingOrder="0" shrinkToFit="0" wrapText="1"/>
    </xf>
    <xf borderId="1" fillId="0" fontId="59" numFmtId="0" xfId="0" applyAlignment="1" applyBorder="1" applyFont="1">
      <alignment readingOrder="0" shrinkToFit="0" wrapText="1"/>
    </xf>
    <xf borderId="1" fillId="0" fontId="59" numFmtId="0" xfId="0" applyAlignment="1" applyBorder="1" applyFont="1">
      <alignment shrinkToFit="0" wrapText="1"/>
    </xf>
    <xf borderId="0" fillId="0" fontId="59" numFmtId="0" xfId="0" applyAlignment="1" applyFont="1">
      <alignment shrinkToFit="0" wrapText="1"/>
    </xf>
    <xf borderId="1" fillId="9" fontId="42" numFmtId="0" xfId="0" applyAlignment="1" applyBorder="1" applyFont="1">
      <alignment shrinkToFit="0" wrapText="1"/>
    </xf>
    <xf borderId="1" fillId="9" fontId="42" numFmtId="0" xfId="0" applyAlignment="1" applyBorder="1" applyFont="1">
      <alignment readingOrder="0" shrinkToFit="0" wrapText="1"/>
    </xf>
    <xf borderId="1" fillId="9" fontId="42" numFmtId="0" xfId="0" applyAlignment="1" applyBorder="1" applyFont="1">
      <alignment readingOrder="0" shrinkToFit="0" wrapText="1"/>
    </xf>
    <xf borderId="1" fillId="9" fontId="42" numFmtId="0" xfId="0" applyAlignment="1" applyBorder="1" applyFont="1">
      <alignment readingOrder="0" shrinkToFit="0" wrapText="1"/>
    </xf>
    <xf borderId="0" fillId="9" fontId="42" numFmtId="0" xfId="0" applyAlignment="1" applyFont="1">
      <alignment readingOrder="0" shrinkToFit="0" wrapText="1"/>
    </xf>
    <xf borderId="1" fillId="8" fontId="42" numFmtId="0" xfId="0" applyAlignment="1" applyBorder="1" applyFont="1">
      <alignment shrinkToFit="0" wrapText="1"/>
    </xf>
    <xf borderId="1" fillId="8" fontId="42" numFmtId="0" xfId="0" applyAlignment="1" applyBorder="1" applyFont="1">
      <alignment readingOrder="0" shrinkToFit="0" wrapText="1"/>
    </xf>
    <xf borderId="1" fillId="8" fontId="42" numFmtId="0" xfId="0" applyAlignment="1" applyBorder="1" applyFont="1">
      <alignment readingOrder="0" shrinkToFit="0" wrapText="1"/>
    </xf>
    <xf borderId="1" fillId="8" fontId="42" numFmtId="0" xfId="0" applyAlignment="1" applyBorder="1" applyFont="1">
      <alignment readingOrder="0" shrinkToFit="0" wrapText="1"/>
    </xf>
    <xf borderId="1" fillId="8" fontId="83" numFmtId="0" xfId="0" applyAlignment="1" applyBorder="1" applyFont="1">
      <alignment readingOrder="0" shrinkToFit="0" wrapText="1"/>
    </xf>
    <xf borderId="0" fillId="8" fontId="42" numFmtId="0" xfId="0" applyAlignment="1" applyFont="1">
      <alignment readingOrder="0" shrinkToFit="0" wrapText="1"/>
    </xf>
    <xf borderId="1" fillId="9" fontId="84" numFmtId="0" xfId="0" applyAlignment="1" applyBorder="1" applyFont="1">
      <alignment readingOrder="0" shrinkToFit="0" wrapText="1"/>
    </xf>
    <xf borderId="0" fillId="9" fontId="42" numFmtId="0" xfId="0" applyAlignment="1" applyFont="1">
      <alignment shrinkToFit="0" wrapText="1"/>
    </xf>
    <xf borderId="0" fillId="8" fontId="42" numFmtId="0" xfId="0" applyAlignment="1" applyFont="1">
      <alignment shrinkToFit="0" wrapText="1"/>
    </xf>
    <xf borderId="0" fillId="0" fontId="1" numFmtId="0" xfId="0" applyAlignment="1" applyFont="1">
      <alignment shrinkToFit="0"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356854"/>
        </left>
        <right style="thin">
          <color rgb="FF356854"/>
        </right>
        <top style="thin">
          <color rgb="FF356854"/>
        </top>
        <bottom style="thin">
          <color rgb="FF356854"/>
        </bottom>
      </border>
    </dxf>
  </dxfs>
  <tableStyles count="2">
    <tableStyle count="4" pivot="0" name="ofertas-style">
      <tableStyleElement dxfId="1" type="headerRow"/>
      <tableStyleElement dxfId="2" type="firstRowStripe"/>
      <tableStyleElement dxfId="3" type="secondRowStripe"/>
      <tableStyleElement dxfId="4" size="0" type="wholeTable"/>
    </tableStyle>
    <tableStyle count="2" pivot="0" name="ofertas-style 2">
      <tableStyleElement dxfId="3"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X108" displayName="Tableau1" name="Tableau1" id="1">
  <tableColumns count="24">
    <tableColumn name="👀" id="1"/>
    <tableColumn name="N" id="2"/>
    <tableColumn name="Avance" id="3"/>
    <tableColumn name="Rol" id="4"/>
    <tableColumn name="Empresa" id="5"/>
    <tableColumn name="Workplace" id="6"/>
    <tableColumn name="Ubicación" id="7"/>
    <tableColumn name="Experiencia" id="8"/>
    <tableColumn name="Sueldo" id="9"/>
    <tableColumn name="Opinión puesto" id="10"/>
    <tableColumn name="Opinión empresa" id="11"/>
    <tableColumn name="ChatGPT" id="12"/>
    <tableColumn name="Info Empresa" id="13"/>
    <tableColumn name="Valores empresa" id="14"/>
    <tableColumn name="Perfil" id="15"/>
    <tableColumn name="Extra" id="16"/>
    <tableColumn name="Enlace" id="17"/>
    <tableColumn name="Comentario" id="18"/>
    <tableColumn name="Avance 2" id="19"/>
    <tableColumn name="Recap" id="20"/>
    <tableColumn name="Column 21" id="21"/>
    <tableColumn name="Column 22" id="22"/>
    <tableColumn name="Column 23" id="23"/>
    <tableColumn name="Column 24" id="24"/>
  </tableColumns>
  <tableStyleInfo name="ofertas-style" showColumnStripes="0" showFirstColumn="1" showLastColumn="1" showRowStripes="1"/>
</table>
</file>

<file path=xl/tables/table2.xml><?xml version="1.0" encoding="utf-8"?>
<table xmlns="http://schemas.openxmlformats.org/spreadsheetml/2006/main" headerRowCount="0" ref="A109:X248" displayName="Table_1" name="Table_1" id="2">
  <tableColumns count="2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s>
  <tableStyleInfo name="ofertas-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linkedin.com/jobs/view/4400317259/" TargetMode="External"/><Relationship Id="rId42" Type="http://schemas.openxmlformats.org/officeDocument/2006/relationships/hyperlink" Target="https://abadisedraoui.wixstudio.com/portfolio" TargetMode="External"/><Relationship Id="rId41" Type="http://schemas.openxmlformats.org/officeDocument/2006/relationships/hyperlink" Target="https://www.linkedin.com/jobs/view/4377843533/" TargetMode="External"/><Relationship Id="rId44" Type="http://schemas.openxmlformats.org/officeDocument/2006/relationships/hyperlink" Target="https://www.linkedin.com/jobs/view/4368681647/" TargetMode="External"/><Relationship Id="rId43" Type="http://schemas.openxmlformats.org/officeDocument/2006/relationships/hyperlink" Target="https://www.linkedin.com/jobs/view/4409050853/" TargetMode="External"/><Relationship Id="rId46" Type="http://schemas.openxmlformats.org/officeDocument/2006/relationships/hyperlink" Target="https://www.linkedin.com/jobs/search/?alertAction=viewjobs&amp;currentJobId=4408670178&amp;distance=25&amp;f_TPR=a1777792566-&amp;f_WT=1%2C3%2C2&amp;geoId=105646813&amp;keywords=Product%20Designer&amp;origin=JOB_ALERT_IN_APP_NOTIFICATION&amp;originToLandingJobPostings=4408369850%2C4408383592%2C4407737470%2C4369944043%2C4369835976%2C4388516957&amp;savedSearchId=5198310161&amp;sortBy=R" TargetMode="External"/><Relationship Id="rId45" Type="http://schemas.openxmlformats.org/officeDocument/2006/relationships/hyperlink" Target="https://www.linkedin.com/jobs/view/4399744901/?trk=eml-email_jobs_job_application_viewed_01-applied_jobs-0-applied_job" TargetMode="External"/><Relationship Id="rId107" Type="http://schemas.openxmlformats.org/officeDocument/2006/relationships/hyperlink" Target="https://www.linkedin.com/jobs/search/?alertAction=viewjobs&amp;currentJobId=4416413230&amp;distance=25&amp;f_TPR=a1779092985-&amp;f_WT=1%2C3%2C2&amp;geoId=105646813&amp;keywords=User%20Experience%20Designer&amp;origin=JOB_ALERT_IN_APP_NOTIFICATION&amp;originToLandingJobPostings=4416097406%2C4416413230%2C4416232995%2C4405999936%2C4416222972%2C4414627690&amp;savedSearchId=5198310169&amp;sortBy=R" TargetMode="External"/><Relationship Id="rId106" Type="http://schemas.openxmlformats.org/officeDocument/2006/relationships/hyperlink" Target="https://jobs.orbio.work/sites/honest-greens-hq/product-designer/658b47c5-2a0f-4ebc-a4f9-c9f5938306a8" TargetMode="External"/><Relationship Id="rId105" Type="http://schemas.openxmlformats.org/officeDocument/2006/relationships/hyperlink" Target="https://www.typeform.com/" TargetMode="External"/><Relationship Id="rId104" Type="http://schemas.openxmlformats.org/officeDocument/2006/relationships/hyperlink" Target="https://careers.stravito.com/jobs/7342996-product-designer" TargetMode="External"/><Relationship Id="rId109" Type="http://schemas.openxmlformats.org/officeDocument/2006/relationships/hyperlink" Target="https://www.linkedin.com/jobs/search/?alertAction=viewjobs&amp;currentJobId=4415943962&amp;distance=25&amp;f_TPR=a1779180799-&amp;f_WT=1%2C3%2C2&amp;geoId=105646813&amp;keywords=User%20Experience%20Designer&amp;origin=JOB_ALERT_IN_APP_NOTIFICATION&amp;originToLandingJobPostings=4405549517%2C4415774953%2C4415943962%2C4416648658%2C4384089474%2C4407472278&amp;savedSearchId=5198310169&amp;sortBy=R" TargetMode="External"/><Relationship Id="rId108" Type="http://schemas.openxmlformats.org/officeDocument/2006/relationships/hyperlink" Target="https://www.linkedin.com/jobs/search/?alertAction=viewjobs&amp;currentJobId=4415774953&amp;distance=25&amp;f_TPR=a1779180799-&amp;f_WT=1%2C3%2C2&amp;geoId=105646813&amp;keywords=User%20Experience%20Designer&amp;origin=JOB_ALERT_IN_APP_NOTIFICATION&amp;originToLandingJobPostings=4405549517%2C4415774953%2C4415943962%2C4416648658%2C4384089474%2C4407472278&amp;savedSearchId=5198310169&amp;sortBy=R" TargetMode="External"/><Relationship Id="rId48" Type="http://schemas.openxmlformats.org/officeDocument/2006/relationships/hyperlink" Target="https://app.joppy.me/explorer/offers/product-design/85637917-b556-4188-a70c-9a89077538d1" TargetMode="External"/><Relationship Id="rId47" Type="http://schemas.openxmlformats.org/officeDocument/2006/relationships/hyperlink" Target="https://app.joppy.me/explorer/offers/product-design/fe971bde-f2ee-4ce4-b5ac-879cfb038d33" TargetMode="External"/><Relationship Id="rId49" Type="http://schemas.openxmlformats.org/officeDocument/2006/relationships/hyperlink" Target="https://www.linkedin.com/jobs/view/4403661494/?trk=eml-email_job_alert_digest_01-primary_job_list-0-jobcard_body_2_jobid_4403661494_ssid_5198310169_fmid_dnyviv~mompxc56~bv&amp;refId=BreIYOmweR66b5cBtkpn4A%3D%3D&amp;trackingId=p0rFAc7ZHNCGjvxA8CHaBg%3D%3D" TargetMode="External"/><Relationship Id="rId103" Type="http://schemas.openxmlformats.org/officeDocument/2006/relationships/hyperlink" Target="https://abadisedraoui.wixstudio.com/portfolio" TargetMode="External"/><Relationship Id="rId102" Type="http://schemas.openxmlformats.org/officeDocument/2006/relationships/hyperlink" Target="https://www.movistarproseguralarmas.es/" TargetMode="External"/><Relationship Id="rId101" Type="http://schemas.openxmlformats.org/officeDocument/2006/relationships/hyperlink" Target="https://socialhub.io/" TargetMode="External"/><Relationship Id="rId100" Type="http://schemas.openxmlformats.org/officeDocument/2006/relationships/hyperlink" Target="https://jobs.lever.co/lodgify/4bfe8973-38f5-44b3-b1cc-801a0770c0bc" TargetMode="External"/><Relationship Id="rId31" Type="http://schemas.openxmlformats.org/officeDocument/2006/relationships/hyperlink" Target="https://www.wave.com/en/careers/job/5701173004/?source=LinkedIn" TargetMode="External"/><Relationship Id="rId30" Type="http://schemas.openxmlformats.org/officeDocument/2006/relationships/hyperlink" Target="https://www.linkedin.com/jobs/view/4409020987/" TargetMode="External"/><Relationship Id="rId33" Type="http://schemas.openxmlformats.org/officeDocument/2006/relationships/hyperlink" Target="https://www.linkedin.com/jobs/view/4227382763/?trk=eml-email_application_confirmation_with_nba_01-applied_jobs-0-jobcard_body&amp;refId=VNuh5Rl%2FQOKP7Xp5a9nQNQ%3D%3D&amp;trackingId=mVk3p2pCRAKiRYAX3NdQyg%3D%3D" TargetMode="External"/><Relationship Id="rId32" Type="http://schemas.openxmlformats.org/officeDocument/2006/relationships/hyperlink" Target="https://www.linkedin.com/jobs/view/4390118070/?trk=eml-email_application_confirmation_with_nba_01-applied_jobs-0-jobcard_body_4390118070&amp;refId=zYu0NtMUTrmirK9rMLlxvg%3D%3D&amp;trackingId=%2Buqq%2FdjPRnKGm879QeSQCQ%3D%3D" TargetMode="External"/><Relationship Id="rId35" Type="http://schemas.openxmlformats.org/officeDocument/2006/relationships/hyperlink" Target="https://www.linkedin.com/jobs/view/4232991574/?trk=eml-email_application_confirmation_with_nba_01-applied_jobs-0-jobcard_body&amp;refId=xH4r7HmTSmK%2BIwlsyDCMWA%3D%3D&amp;trackingId=b0lxOMW3Qie0OmWln2h9Kg%3D%3D" TargetMode="External"/><Relationship Id="rId34" Type="http://schemas.openxmlformats.org/officeDocument/2006/relationships/hyperlink" Target="https://www.linkedin.com/jobs/view/4228264026/?trk=eml-email_application_confirmation_with_nba_01-applied_jobs-0-jobcard_body&amp;refId=nE6ncSepSiyId8ni3Ms1mQ%3D%3D&amp;trackingId=quUi288KSJCGPZuwccZH8Q%3D%3D" TargetMode="External"/><Relationship Id="rId37" Type="http://schemas.openxmlformats.org/officeDocument/2006/relationships/hyperlink" Target="https://www.linkedin.com/jobs/view/4226238617/?trk=eml-email_application_confirmation_with_nba_01-applied_jobs-0-jobcard_body&amp;refId=aPhtkr0UQVGBYtFmOKQvIQ%3D%3D&amp;trackingId=DIa1v6hOQWWgnL56NEGGkA%3D%3D" TargetMode="External"/><Relationship Id="rId36" Type="http://schemas.openxmlformats.org/officeDocument/2006/relationships/hyperlink" Target="https://www.linkedin.com/jobs/view/4229429541/?trk=eml-email_application_confirmation_with_nba_01-applied_jobs-0-jobcard_body&amp;refId=FlORgaaBQpGZJGD6qa1e3Q%3D%3D&amp;trackingId=D1gsNZ%2BwTPiGMMxUpwiriw%3D%3D" TargetMode="External"/><Relationship Id="rId39" Type="http://schemas.openxmlformats.org/officeDocument/2006/relationships/hyperlink" Target="https://www.linkedin.com/jobs/view/4405549517/" TargetMode="External"/><Relationship Id="rId38" Type="http://schemas.openxmlformats.org/officeDocument/2006/relationships/hyperlink" Target="https://www.linkedin.com/jobs/view/4285522708/?trk=eml-email_application_confirmation_with_nba_01-applied_jobs-0-jobcard_body&amp;refId=SoorGLEATwa8WojpiTOkJg%3D%3D&amp;trackingId=PvN7KxdvRaCUmF24BBLvAQ%3D%3D" TargetMode="External"/><Relationship Id="rId20" Type="http://schemas.openxmlformats.org/officeDocument/2006/relationships/hyperlink" Target="https://careers.reversegroup.io/jobs/5744224-ui-ux-visual-designer" TargetMode="External"/><Relationship Id="rId22" Type="http://schemas.openxmlformats.org/officeDocument/2006/relationships/hyperlink" Target="https://careers.puffy.com/roles/ux-ui-designer-(dubai)?source=li" TargetMode="External"/><Relationship Id="rId21" Type="http://schemas.openxmlformats.org/officeDocument/2006/relationships/hyperlink" Target="https://www.linkedin.com/jobs/view/4370990693/?trk=eml-email_application_confirmation_with_nba_01-applied_jobs-0-jobcard_body_4370990693&amp;refId=a4p43UTXSQq6aMiJl%2BcuKQ%3D%3D&amp;trackingId=TWYdFX0LRsmR3xZL7Y1fLg%3D%3D" TargetMode="External"/><Relationship Id="rId24" Type="http://schemas.openxmlformats.org/officeDocument/2006/relationships/hyperlink" Target="https://www.linkedin.com/jobs/view/senior-experience-designer-at-frog-4403727468/" TargetMode="External"/><Relationship Id="rId23" Type="http://schemas.openxmlformats.org/officeDocument/2006/relationships/hyperlink" Target="https://www.garajedeideas.com/es/approach/design?utm_term=servicios%20ux&amp;utm_campaign=GDI-Search-Leadgen&amp;utm_source=adwords&amp;utm_medium=ppc&amp;hsa_acc=2024789598&amp;hsa_cam=23481485278&amp;hsa_grp=191337413466&amp;hsa_ad=793409709489&amp;hsa_src=g&amp;hsa_tgt=kwd-1210133178686&amp;hsa_kw=servicios%20ux&amp;hsa_mt=p&amp;hsa_net=adwords&amp;hsa_ver=3&amp;gad_source=1&amp;gad_campaignid=23481485278&amp;gbraid=0AAAAAou2ykr1q93KM-DYeMjPzIUxCgllC&amp;gclid=Cj0KCQjwh-HPBhCIARIsAC0p3ccxGFrdv3JMmmy0SjAsMfyNH7hLLKHlYSM5_Qtqfn2vpAtIsSGXi6MaAqKUEALw_wcB" TargetMode="External"/><Relationship Id="rId129" Type="http://schemas.openxmlformats.org/officeDocument/2006/relationships/hyperlink" Target="https://www.linkedin.com/jobs/search-results/?currentJobId=4425786526&amp;eBP=BUDGET_EXHAUSTED_JOB&amp;refId=v0kCFj2s0os9G8OJiO%2Byqg%3D%3D&amp;trackingId=0DwVVxnE0c%2Fa1pukVF4gtg%3D%3D&amp;keywords=product+designer&amp;origin=JOB_SEARCH_PAGE_JOB_FILTER&amp;referralSearchId=3UXZO4Zvpbd%2BLxvWL%2Fmk1Q%3D%3D" TargetMode="External"/><Relationship Id="rId128" Type="http://schemas.openxmlformats.org/officeDocument/2006/relationships/hyperlink" Target="https://www.linkedin.com/jobs/search-results/?currentJobId=4425786526&amp;eBP=CwEAAAGe1JjXaYZFtnGeqhT2TWfAGHb0GmUCzibsQfRvYRN2yrnWSvm01tKrybakbLzxK6cc8pyiJKvli_CEa-LICMZuYtwQvuW3mx7aAhAlsM4TPzrjSw7gKocPlxK3zW1UfC0KBeM1qsDhfO2u404hqYkKFEb_aGXzSMPdEFmiFEjNqWCNjrY70yYIjkokWloDMd4imghBzA3YJKvqLGyOOH2Sjrl1VmCvB7xWt3smLOlqYfA18Cm8HlaM88fhgiPRagde1rlEYBruczxo-Bs00DXknCGE-P5iVUOyFzYb5bc07exIxClUNXXe2adPOSpXa3M1u6A1uabEbMTSUot-L32QQ4FzwnN4-wmtp7g23qDxEtp5nvYIX-Wutk4b4K4HWPG1WZCi1tho0ByjSZXlp5zT0dFrAIwcD0euhqeNdaHYqiAsy39EIq1KR_EJpgjNBlUfjaCd537V7vw7kmNeKdUZYqDO1GlkK9ipRLOdqEMQxuHXDg&amp;refId=FEYWEM%2BMCh2q%2FOXsqg9Hsg%3D%3D&amp;trackingId=OBSKyl9JbdfKjl1OjTv2Ng%3D%3D&amp;keywords=product%20designer&amp;origin=JOB_SEARCH_PAGE_JOB_FILTER&amp;referralSearchId=3UXZO4Zvpbd%2BLxvWL%2Fmk1Q%3D%3D&amp;start=50&amp;f_TPR=r604800" TargetMode="External"/><Relationship Id="rId127" Type="http://schemas.openxmlformats.org/officeDocument/2006/relationships/hyperlink" Target="https://www.linkedin.com/jobs/search-results/?currentJobId=4413029816&amp;eBP=NOT_ELIGIBLE_FOR_CHARGING&amp;refId=FEYWEM%2BMCh2q%2FOXsqg9Hsg%3D%3D&amp;trackingId=OIf4gBcFJYc4qL%2BmHXiAoQ%3D%3D&amp;keywords=product%20designer&amp;origin=JOB_SEARCH_PAGE_JOB_FILTER&amp;referralSearchId=3UXZO4Zvpbd%2BLxvWL%2Fmk1Q%3D%3D&amp;start=50&amp;f_TPR=r604800" TargetMode="External"/><Relationship Id="rId126" Type="http://schemas.openxmlformats.org/officeDocument/2006/relationships/hyperlink" Target="https://www.linkedin.com/jobs/search-results/?currentJobId=4427436721&amp;eBP=CwEAAAGe1JjXauqHcb8_23DfoL_IJtLqnezQPqv8yVsEJYiIX4H4X8r9MYmil4DRcv8Sz7-LgBeQWyVph3dcJfjfvBEo-Q2anjmoPD0bONN-k-FrjvtvmszHpmBeew6Kmk957_mGDgv3mXLUeT0fZjtIgP_lavy26KBc7DhZBNE7BGFamg5wM6UErsyYiQzwrcdq5TglKC5v2k30pSlsdH1BAt6-6lVcayrgfKI1H80OXN0-TMlmxoldkXOSi1PuLZ7m7s9qdql6Gt__UrojYQTpt2hAg1KyNxYsIFieq0z8HkPCeFHur3aICRQBCfryABm9PGhg6xxJG5O3tpc5dvbrGNm4FNGEF0kIj-VgyH54Ss8URoX3zqwYXNjdBY56LnBPu-qqm753Eo6SxqfwLun562GwzR669-OuzzU0fJcefJxb7UzGLXpJZCmjKbUDY6Vs3Bfjq_5QKnK_5o4BdoXVPtHo4KptqTb8itCT_hK96a21T72oaw&amp;refId=FEYWEM%2BMCh2q%2FOXsqg9Hsg%3D%3D&amp;trackingId=4eylwe3zJZonaYabgz8C7Q%3D%3D&amp;keywords=product+designer&amp;origin=JOB_SEARCH_PAGE_JOB_FILTER&amp;referralSearchId=3UXZO4Zvpbd%2BLxvWL%2Fmk1Q%3D%3D&amp;start=50&amp;f_TPR=r604800" TargetMode="External"/><Relationship Id="rId26" Type="http://schemas.openxmlformats.org/officeDocument/2006/relationships/hyperlink" Target="https://jobs.ashbyhq.com/duck-duck-go/776bd1c8-81aa-4719-8238-ba357e1f5271?utm_source=pbMkGlP0lv" TargetMode="External"/><Relationship Id="rId121" Type="http://schemas.openxmlformats.org/officeDocument/2006/relationships/hyperlink" Target="https://www.getinflow.io/" TargetMode="External"/><Relationship Id="rId25" Type="http://schemas.openxmlformats.org/officeDocument/2006/relationships/hyperlink" Target="https://apply.workable.com/airhelp/j/6B5964DFBA" TargetMode="External"/><Relationship Id="rId120" Type="http://schemas.openxmlformats.org/officeDocument/2006/relationships/hyperlink" Target="https://www.wamglobal.com/" TargetMode="External"/><Relationship Id="rId28" Type="http://schemas.openxmlformats.org/officeDocument/2006/relationships/hyperlink" Target="https://www.linkedin.com/jobs/view/4397475756/?trk=eml-email_job_alert_digest_01-primary_job_list-0-jobcard_body_0_jobid_4397475756_ssid_5198310161_fmid_dnyviv~mopgipw9~5p&amp;refId=wcevKSO3cicv%2BDm8d%2BsKog%3D%3D&amp;trackingId=ooNXlO2X2HBYkWb3jmqE%2Fg%3D%3D" TargetMode="External"/><Relationship Id="rId27" Type="http://schemas.openxmlformats.org/officeDocument/2006/relationships/hyperlink" Target="https://job-boards.eu.greenhouse.io/superbet/jobs/4776704101" TargetMode="External"/><Relationship Id="rId125" Type="http://schemas.openxmlformats.org/officeDocument/2006/relationships/hyperlink" Target="https://www.linkedin.com/jobs/search-results/?currentJobId=4429928580&amp;eBP=CwEAAAGe1khpW1jmm5pdVR1dMQBbKJXANoxR5F3IV2-7pvo7lN9d9ysYlj8MDShIxFPS3XzRBHx3WrBVolRDrtifmqqMoarax4dyW0BKiv7uxWAfonI5io-S1AaJrDsEWKO2hopG7nAjN_0ghFMrRvyHu9Z0yYsGYkxS0y96fWeksvjimMyV4AWZcUwQJboZpIs6gSS9EZsm39OEmkc2yCl13i9wOU6Rg80XGoKNM71AnajVdAoNFCsEzlddJ9p4MqRrc0NJApebFWGvk9O34YJ0YyQ4so6CAH8ZzDWVeqxWL-2y6_mafPVt6OZ-DZzKv3HbUdKqkIJDFJmSqWq1OzpxuObtghrHjjK6CbjSLsHcVOhvHI2GuepiiXgH0gxPUiBjNxv1JODcxkICNlbBVOtGbev8qCMPwD6u8TmNfYT3JBEYC08xjyl5RVrVfszL9veMDXI6X9M52isviguVgn1ydWIEAWWbZY_Jk73x8VBgNEbTDnX_Ug&amp;refId=pUd5C97FRC31giJOlQDNYw%3D%3D&amp;trackingId=XHGBzBM32wBWI9QPjOc%2BQg%3D%3D&amp;keywords=product%20designer&amp;origin=JOB_SEARCH_PAGE_JOB_FILTER&amp;referralSearchId=w4Q2KR8%2FMQGbedOmkASn8g%3D%3D&amp;geoId=105646813&amp;distance=0.0&amp;f_TPR=r86400" TargetMode="External"/><Relationship Id="rId29" Type="http://schemas.openxmlformats.org/officeDocument/2006/relationships/hyperlink" Target="https://www.linkedin.com/jobs/view/4397475756/?trk=eml-email_job_alert_digest_01-primary_job_list-0-jobcard_body_0_jobid_4397475756_ssid_5198310161_fmid_dnyviv~mopgipw9~5p&amp;refId=wcevKSO3cicv%2BDm8d%2BsKog%3D%3D&amp;trackingId=ooNXlO2X2HBYkWb3jmqE%2Fg%3D%3D" TargetMode="External"/><Relationship Id="rId124" Type="http://schemas.openxmlformats.org/officeDocument/2006/relationships/hyperlink" Target="https://www.linkedin.com/jobs/view/4417053941/?refId=t9J6jAVUSfOMj7anlfdIPw%3D%3D&amp;trackingId=t9J6jAVUSfOMj7anlfdIPw%3D%3D" TargetMode="External"/><Relationship Id="rId123" Type="http://schemas.openxmlformats.org/officeDocument/2006/relationships/hyperlink" Target="https://www.linkedin.com/jobs/search-results/?currentJobId=4424573301&amp;keywords=tribbu&amp;origin=JOBS_HOME_SEARCH_BUTTON" TargetMode="External"/><Relationship Id="rId122" Type="http://schemas.openxmlformats.org/officeDocument/2006/relationships/hyperlink" Target="https://www.revolut.com/" TargetMode="External"/><Relationship Id="rId95" Type="http://schemas.openxmlformats.org/officeDocument/2006/relationships/hyperlink" Target="https://www.jetbrains.com/" TargetMode="External"/><Relationship Id="rId94" Type="http://schemas.openxmlformats.org/officeDocument/2006/relationships/hyperlink" Target="https://corecode.io/" TargetMode="External"/><Relationship Id="rId97" Type="http://schemas.openxmlformats.org/officeDocument/2006/relationships/hyperlink" Target="https://canonical.com/careers" TargetMode="External"/><Relationship Id="rId96" Type="http://schemas.openxmlformats.org/officeDocument/2006/relationships/hyperlink" Target="https://www.primeit.es/" TargetMode="External"/><Relationship Id="rId11" Type="http://schemas.openxmlformats.org/officeDocument/2006/relationships/hyperlink" Target="https://www.linkedin.com/jobs/collections/recommended/?currentJobId=4400496739&amp;discover=recommended&amp;discoveryOrigin=JOBS_HOME_JYMBII" TargetMode="External"/><Relationship Id="rId99" Type="http://schemas.openxmlformats.org/officeDocument/2006/relationships/hyperlink" Target="https://jobs.ashbyhq.com/theam/8ab3b02b-101c-43e7-a5d0-a07fdba62510?utm_source=KQny0YMw1V" TargetMode="External"/><Relationship Id="rId10" Type="http://schemas.openxmlformats.org/officeDocument/2006/relationships/hyperlink" Target="https://www.linkedin.com/jobs/collections/recommended/?currentJobId=4399969225&amp;discover=recommended&amp;discoveryOrigin=JOBS_HOME_JYMBII" TargetMode="External"/><Relationship Id="rId98" Type="http://schemas.openxmlformats.org/officeDocument/2006/relationships/hyperlink" Target="https://job-boards.greenhouse.io/smartsheet/jobs/7630792" TargetMode="External"/><Relationship Id="rId13" Type="http://schemas.openxmlformats.org/officeDocument/2006/relationships/hyperlink" Target="https://www.linkedin.com/jobs/view/4404079166/" TargetMode="External"/><Relationship Id="rId12" Type="http://schemas.openxmlformats.org/officeDocument/2006/relationships/hyperlink" Target="https://www.linkedin.com/jobs/collections/top-applicant/?currentJobId=4400773545" TargetMode="External"/><Relationship Id="rId91" Type="http://schemas.openxmlformats.org/officeDocument/2006/relationships/hyperlink" Target="https://fitxr.com/?utm_source=chatgpt.com" TargetMode="External"/><Relationship Id="rId90" Type="http://schemas.openxmlformats.org/officeDocument/2006/relationships/hyperlink" Target="https://redbility.com/" TargetMode="External"/><Relationship Id="rId93" Type="http://schemas.openxmlformats.org/officeDocument/2006/relationships/hyperlink" Target="https://www.linkedin.com/jobs/view/4412780696/" TargetMode="External"/><Relationship Id="rId92" Type="http://schemas.openxmlformats.org/officeDocument/2006/relationships/hyperlink" Target="https://fitxr-1642768457.teamtailor.com/jobs/7718230-senior-product-designer?utm_source=LinkedIn" TargetMode="External"/><Relationship Id="rId118" Type="http://schemas.openxmlformats.org/officeDocument/2006/relationships/hyperlink" Target="https://www.loom.com/share/357b7491412e42fbb77d70de49e723cb" TargetMode="External"/><Relationship Id="rId117" Type="http://schemas.openxmlformats.org/officeDocument/2006/relationships/hyperlink" Target="https://careers.zooplus.com/jobs/experience-designer-ux-all-genders-madrid-community-of-madrid-spain?SourceTypeID=LINKEDIN" TargetMode="External"/><Relationship Id="rId116" Type="http://schemas.openxmlformats.org/officeDocument/2006/relationships/hyperlink" Target="https://www.bitfinex.com/" TargetMode="External"/><Relationship Id="rId115" Type="http://schemas.openxmlformats.org/officeDocument/2006/relationships/hyperlink" Target="https://www.linkedin.com/jobs/collections/hiring-in-network/?currentJobId=4418953738&amp;origin=SOCIAL_SEEKING_HIRING_IN_NETWORK_IN_APP_NOTIFICATION&amp;originToLandingJobPostings=4418953738" TargetMode="External"/><Relationship Id="rId119" Type="http://schemas.openxmlformats.org/officeDocument/2006/relationships/hyperlink" Target="https://www.yazio.com/en/open-positions?utm_source=j99GyPOY10&amp;ashby_jid=4cf41fd3-d172-4d1b-a242-b4024374d8f3" TargetMode="External"/><Relationship Id="rId15" Type="http://schemas.openxmlformats.org/officeDocument/2006/relationships/hyperlink" Target="https://www.linkedin.com/jobs/view/4405680242/?trk=eml-email_application_confirmation_with_nba_01-applied_jobs-0-jobcard_body_4405680242&amp;refId=rIcSBcbzQu%2BuDMlQqv0LJQ%3D%3D&amp;trackingId=ds6bzlp4SAuWWsYLiLUFRg%3D%3D" TargetMode="External"/><Relationship Id="rId110" Type="http://schemas.openxmlformats.org/officeDocument/2006/relationships/hyperlink" Target="https://www.linkedin.com/jobs/search/?currentJobId=4408779313&amp;distance=25&amp;f_TPR=a1779180799-&amp;f_WT=1%2C3%2C2&amp;geoId=105646813&amp;keywords=User%20Experience%20Designer&amp;origin=JOB_ALERT_IN_APP_NOTIFICATION&amp;originToLandingJobPostings=4405549517%2C4415774953%2C4415943962%2C4416648658%2C4384089474%2C4407472278&amp;savedSearchId=5198310169" TargetMode="External"/><Relationship Id="rId14" Type="http://schemas.openxmlformats.org/officeDocument/2006/relationships/hyperlink" Target="https://jobs.bendingspoons.com/positions/69970a2579dbe4d52a84544a?utm_medium=job_post&amp;utm_source=linkedin&amp;utm_campaign=69e6bf0b863053fddef78053" TargetMode="External"/><Relationship Id="rId17" Type="http://schemas.openxmlformats.org/officeDocument/2006/relationships/hyperlink" Target="https://www.linkedin.com/jobs/view/4404817059/" TargetMode="External"/><Relationship Id="rId16" Type="http://schemas.openxmlformats.org/officeDocument/2006/relationships/hyperlink" Target="https://yohrconsultancy.hiresome.ai/apply_form/senior-ui-ux-designer-remote-69e610534636017ceae59669?utm_source=linkedin" TargetMode="External"/><Relationship Id="rId19" Type="http://schemas.openxmlformats.org/officeDocument/2006/relationships/hyperlink" Target="https://www.linkedin.com/jobs/collections/recommended/?currentJobId=4404692805&amp;discover=recommended&amp;discoveryOrigin=JOBS_HOME_JYMBII" TargetMode="External"/><Relationship Id="rId114" Type="http://schemas.openxmlformats.org/officeDocument/2006/relationships/hyperlink" Target="https://www.linkedin.com/jobs/collections/recommended/?currentJobId=4414044186&amp;discover=recommended&amp;discoveryOrigin=JOBS_HOME_JYMBII" TargetMode="External"/><Relationship Id="rId18" Type="http://schemas.openxmlformats.org/officeDocument/2006/relationships/hyperlink" Target="https://www.linkedin.com/jobs/collections/recommended/?currentJobId=4405977391&amp;discover=recommended&amp;discoveryOrigin=JOBS_HOME_JYMBII" TargetMode="External"/><Relationship Id="rId113" Type="http://schemas.openxmlformats.org/officeDocument/2006/relationships/hyperlink" Target="https://jobs.deel.com/deel/job-details/0380d24a-cc3e-4001-8da0-62dcbbece6cd/overview?source=linkedin" TargetMode="External"/><Relationship Id="rId112" Type="http://schemas.openxmlformats.org/officeDocument/2006/relationships/hyperlink" Target="https://job-boards.greenhouse.io/modernhealth/jobs/8550516002" TargetMode="External"/><Relationship Id="rId111" Type="http://schemas.openxmlformats.org/officeDocument/2006/relationships/hyperlink" Target="https://www.linkedin.com/jobs/collections/recommended/?currentJobId=4375521994&amp;discover=recommended&amp;discoveryOrigin=JOBS_HOME_JYMBII" TargetMode="External"/><Relationship Id="rId84" Type="http://schemas.openxmlformats.org/officeDocument/2006/relationships/hyperlink" Target="https://www.linkedin.com/jobs/collections/recommended/?currentJobId=4410299234&amp;discover=recommended&amp;discoveryOrigin=JOBS_HOME_JYMBII&amp;start=24" TargetMode="External"/><Relationship Id="rId83" Type="http://schemas.openxmlformats.org/officeDocument/2006/relationships/hyperlink" Target="https://www.linkedin.com/jobs/collections/recommended/?currentJobId=4405535674&amp;discover=recommended&amp;discoveryOrigin=JOBS_HOME_JYMBII" TargetMode="External"/><Relationship Id="rId86" Type="http://schemas.openxmlformats.org/officeDocument/2006/relationships/hyperlink" Target="https://www.linkedin.com/jobs/collections/recommended/?currentJobId=4411869748&amp;discover=recommended&amp;discoveryOrigin=JOBS_HOME_JYMBII" TargetMode="External"/><Relationship Id="rId85" Type="http://schemas.openxmlformats.org/officeDocument/2006/relationships/hyperlink" Target="https://www.linkedin.com/jobs/search/?alertAction=viewjobs&amp;currentJobId=4409265336&amp;distance=25&amp;f_TPR=a1778139502-&amp;f_WT=1%2C3%2C2&amp;geoId=105646813&amp;keywords=Product%20Designer&amp;origin=JOB_ALERT_IN_APP_NOTIFICATION&amp;originToLandingJobPostings=4353796933%2C4410477445%2C4390006428%2C4409265336%2C4409606633%2C4410850370&amp;savedSearchId=5198310161&amp;sortBy=R" TargetMode="External"/><Relationship Id="rId88" Type="http://schemas.openxmlformats.org/officeDocument/2006/relationships/hyperlink" Target="https://www.linkedin.com/jobs/collections/recommended/?currentJobId=4412177529" TargetMode="External"/><Relationship Id="rId150" Type="http://schemas.openxmlformats.org/officeDocument/2006/relationships/hyperlink" Target="https://www.linkedin.com/jobs/search-results/?currentJobId=4429704133&amp;eBP=NOT_ELIGIBLE_FOR_CHARGING&amp;refId=dQXmYKMwnkvctYy6sGNI0A%3D%3D&amp;trackingId=Mz8nQN7O5C1Xl5%2FjWyNvaA%3D%3D&amp;keywords=product%20designer&amp;origin=JOB_SEARCH_PAGE_JOB_FILTER&amp;referralSearchId=EJNAQDW63LzTlILqvPZJtQ%3D%3D" TargetMode="External"/><Relationship Id="rId87" Type="http://schemas.openxmlformats.org/officeDocument/2006/relationships/hyperlink" Target="https://www.linkedin.com/jobs/collections/recommended/?currentJobId=4380933515&amp;discover=recommended&amp;discoveryOrigin=JOBS_HOME_JYMBII" TargetMode="External"/><Relationship Id="rId89" Type="http://schemas.openxmlformats.org/officeDocument/2006/relationships/hyperlink" Target="https://redbility.com/?utm_source=chatgpt.com" TargetMode="External"/><Relationship Id="rId80" Type="http://schemas.openxmlformats.org/officeDocument/2006/relationships/hyperlink" Target="https://fundraiseup.com/?utm_source=chatgpt.com" TargetMode="External"/><Relationship Id="rId82" Type="http://schemas.openxmlformats.org/officeDocument/2006/relationships/hyperlink" Target="https://careers.thinkproject.com/Senior-UXUI-Designer-fmd-eng-j1521.html" TargetMode="External"/><Relationship Id="rId81" Type="http://schemas.openxmlformats.org/officeDocument/2006/relationships/hyperlink" Target="https://www.linkedin.com/jobs/collections/recommended/?currentJobId=4384232830" TargetMode="External"/><Relationship Id="rId1" Type="http://schemas.openxmlformats.org/officeDocument/2006/relationships/hyperlink" Target="https://www.linkedin.com/jobs/view/accessibility-designer-%E2%80%93-ax-ux-designer-m-f-d-at-deutsche-telekom-4116518390/?originalSubdomain=es" TargetMode="External"/><Relationship Id="rId2" Type="http://schemas.openxmlformats.org/officeDocument/2006/relationships/hyperlink" Target="https://docs.google.com/document/d/15b5gLJqcxzs1wz5V9et5YCOttotXXclbZ4oCGgPt3J4/edit?tab=t.0" TargetMode="External"/><Relationship Id="rId3" Type="http://schemas.openxmlformats.org/officeDocument/2006/relationships/hyperlink" Target="https://www.linkedin.com/jobs/collections/recommended/?currentJobId=4354815053&amp;discover=recommended&amp;discoveryOrigin=JOBS_HOME_JYMBII" TargetMode="External"/><Relationship Id="rId149" Type="http://schemas.openxmlformats.org/officeDocument/2006/relationships/hyperlink" Target="https://www.linkedin.com/jobs/view/4417631240/" TargetMode="External"/><Relationship Id="rId4" Type="http://schemas.openxmlformats.org/officeDocument/2006/relationships/hyperlink" Target="https://www.linkedin.com/jobs/collections/remote-jobs/?currentJobId=4325298458&amp;discover=recommended&amp;discoveryOrigin=JOBS_HOME_JYMBII" TargetMode="External"/><Relationship Id="rId148" Type="http://schemas.openxmlformats.org/officeDocument/2006/relationships/hyperlink" Target="https://www.linkedin.com/jobs/view/4429258394/?trk=eml-email_application_confirmation_with_nba_01-applied_jobs-0-jobcard_body_4429258394&amp;refId=46VHPqGKQKG8wqQUarVqFQ%3D%3D&amp;trackingId=New594M9SkmM2%2FRlYDEcHg%3D%3D" TargetMode="External"/><Relationship Id="rId9" Type="http://schemas.openxmlformats.org/officeDocument/2006/relationships/hyperlink" Target="https://www.linkedin.com/jobs/collections/recommended/?currentJobId=4398553219&amp;discover=recommended&amp;discoveryOrigin=JOBS_HOME_JYMBII" TargetMode="External"/><Relationship Id="rId143" Type="http://schemas.openxmlformats.org/officeDocument/2006/relationships/hyperlink" Target="https://www.linkedin.com/jobs/view/4423666238/?trk=eml-email_application_confirmation_with_nba_01-applied_jobs-0-jobcard_body_4423666238&amp;refId=r9%2ByItWmSRWgxxrtWp3VHQ%3D%3D&amp;trackingId=u9IuFYNhSdW4dGM6zeEkqg%3D%3D" TargetMode="External"/><Relationship Id="rId142" Type="http://schemas.openxmlformats.org/officeDocument/2006/relationships/hyperlink" Target="https://www.linkedin.com/jobs/view/4415334498/" TargetMode="External"/><Relationship Id="rId141" Type="http://schemas.openxmlformats.org/officeDocument/2006/relationships/hyperlink" Target="https://www.linkedin.com/jobs/search-results/?currentJobId=4429704133&amp;eBP=NOT_ELIGIBLE_FOR_CHARGING&amp;refId=dQXmYKMwnkvctYy6sGNI0A%3D%3D&amp;trackingId=Mz8nQN7O5C1Xl5%2FjWyNvaA%3D%3D&amp;keywords=product+designer&amp;origin=JOB_SEARCH_PAGE_JOB_FILTER&amp;referralSearchId=EJNAQDW63LzTlILqvPZJtQ%3D%3D" TargetMode="External"/><Relationship Id="rId140" Type="http://schemas.openxmlformats.org/officeDocument/2006/relationships/hyperlink" Target="https://www.linkedin.com/jobs/view/4429258394/?trk=eml-email_application_confirmation_with_nba_01-applied_jobs-0-jobcard_body_4429258394&amp;refId=46VHPqGKQKG8wqQUarVqFQ%3D%3D&amp;trackingId=New594M9SkmM2%2FRlYDEcHg%3D%3D" TargetMode="External"/><Relationship Id="rId5" Type="http://schemas.openxmlformats.org/officeDocument/2006/relationships/hyperlink" Target="https://www.linkedin.com/jobs/collections/remote-jobs/?currentJobId=4401486334&amp;discover=recommended&amp;discoveryOrigin=JOBS_HOME_JYMBII" TargetMode="External"/><Relationship Id="rId147" Type="http://schemas.openxmlformats.org/officeDocument/2006/relationships/hyperlink" Target="https://www.linkedin.com/jobs/view/4433313073/?trk=eml-email_application_confirmation_with_nba_01-applied_jobs-0-jobcard_body_4433313073&amp;refId=YyIeo%2FgpTYWHfWn9%2BMAjEA%3D%3D&amp;trackingId=%2FaTFPiA2Tf%2BELzkg7gI45Q%3D%3D" TargetMode="External"/><Relationship Id="rId6" Type="http://schemas.openxmlformats.org/officeDocument/2006/relationships/hyperlink" Target="https://www.linkedin.com/jobs/collections/remote-jobs/?currentJobId=4371287388&amp;discover=recommended&amp;discoveryOrigin=JOBS_HOME_JYMBII" TargetMode="External"/><Relationship Id="rId146" Type="http://schemas.openxmlformats.org/officeDocument/2006/relationships/hyperlink" Target="https://www.linkedin.com/jobs/view/4430552554/?trk=eml-email_application_confirmation_with_nba_01-applied_jobs-0-jobcard_body_4430552554&amp;refId=rLDcU3d9RRqDvpZkKlaIJQ%3D%3D&amp;trackingId=8sfm2lOcTO%2B4te3UdhjjoA%3D%3D" TargetMode="External"/><Relationship Id="rId7" Type="http://schemas.openxmlformats.org/officeDocument/2006/relationships/hyperlink" Target="https://apply.workable.com/samacoaching/j/469B756B72/" TargetMode="External"/><Relationship Id="rId145" Type="http://schemas.openxmlformats.org/officeDocument/2006/relationships/hyperlink" Target="https://www.linkedin.com/jobs/view/4431677372/?trk=eml-email_application_confirmation_with_nba_01-applied_jobs-0-jobcard_body_4431677372&amp;refId=4s2l8kNKS0KupXg5%2BBP%2FBQ%3D%3D&amp;trackingId=FIPFwt8YS7WcLE%2BqbCHYdg%3D%3D" TargetMode="External"/><Relationship Id="rId8" Type="http://schemas.openxmlformats.org/officeDocument/2006/relationships/hyperlink" Target="https://www.linkedin.com/jobs/view/4398553219/?alternateChannel=search&amp;eBP=CwEAAAGdrBwMungFjzD5iJ3UhO1Kv8clZoqd5t2buixnxy7TH1vUNqD9mqbj4Ql00mqwSQyHR3Nnx4jXQirHhMP2wsIcN7bI1kmMxuJcGL0SGjqkUpi2WNFaNNLG7dp-TrRhTOyhDPutN6pjxHzjHFzSuA8o0i_bQgZeDQ-wu26cxzS1_qFKopouIbJM_PXSe0g7ieJ0VTLAEXm2qOQnmtaRdBpydLPfL3geznuNYxceUGJjs252Zi95kK0QCEIcsyMFsiyuzcNSYJaozowD2-zM1Pdjw5y3MAZSAAgYFQYJE0sQslkKDDqrmZ7_hbBllAsWhhSzTjRTQ2Xq0ZX82Qw2am7a6AfpAa3xwc2erqOlJnJZdwSTjC1g_E6ag4m-XDDJV_RZa4gdPQQBrmpOn0XuOSK0CqY8Bht-WVesrlOVhtzBhMQH2fJgIXjMwcqTVQK7w5eJ4newH0OhOrSzzfoo6qCLJVn1uEVu3BjD6thzTmd5weNcjd91oaQ8q0g&amp;refId=0NnXAfkNPnmabok2Vse9Cw%3D%3D&amp;trackingId=VAIN4pCP1Yu8nbXuMJDwkg%3D%3D&amp;trk=d_flagship3_postapply_next_best_action" TargetMode="External"/><Relationship Id="rId144" Type="http://schemas.openxmlformats.org/officeDocument/2006/relationships/hyperlink" Target="https://www.linkedin.com/jobs/view/4431700624/?trk=eml-email_application_confirmation_with_nba_01-applied_jobs-0-jobcard_body_4431700624&amp;refId=Jtw5ibntQgumDM8bOFjgUQ%3D%3D&amp;trackingId=TIauXjlrQNyds%2FLG9mPRJw%3D%3D" TargetMode="External"/><Relationship Id="rId73" Type="http://schemas.openxmlformats.org/officeDocument/2006/relationships/hyperlink" Target="https://www.glassdoor.es/Empleo/index.htm?utm_source=jobsForYou&amp;utm_medium=email&amp;utm_content=jobs-for-you-jobsForYou-jobpos1-agejp-1010125378390&amp;utm_campaign=jobsForYou&amp;src=GD_JOB_AD&amp;uido=188245E844162D879F5F29DB2A3A2722&amp;ao=1136043&amp;jrtk=5-yul1-1-1jo0b916ggmvp800-d814926c97a64278&amp;cs=1_8dcb86f6&amp;s=362&amp;t=REC_JOBS&amp;pos=101&amp;guid=0000019df5dbec20a7ac2aae6a53f530&amp;jobListingId=1010125378390&amp;rdforyou=true&amp;vt=e&amp;cb=1778128291231&amp;gdir=1" TargetMode="External"/><Relationship Id="rId72" Type="http://schemas.openxmlformats.org/officeDocument/2006/relationships/hyperlink" Target="https://abadisedraoui.wixstudio.com/portfolio." TargetMode="External"/><Relationship Id="rId75" Type="http://schemas.openxmlformats.org/officeDocument/2006/relationships/hyperlink" Target="https://www.hays.es/?utm_source=chatgpt.com" TargetMode="External"/><Relationship Id="rId74" Type="http://schemas.openxmlformats.org/officeDocument/2006/relationships/hyperlink" Target="https://sme.careers/dashboard" TargetMode="External"/><Relationship Id="rId77" Type="http://schemas.openxmlformats.org/officeDocument/2006/relationships/hyperlink" Target="https://producthackers.com/?utm_source=chatgpt.com" TargetMode="External"/><Relationship Id="rId76" Type="http://schemas.openxmlformats.org/officeDocument/2006/relationships/hyperlink" Target="https://www.linkedin.com/jobs/search/?alertAction=viewjobs&amp;currentJobId=4408814284&amp;distance=25&amp;f_TPR=a1778059733-&amp;f_WT=1%2C3%2C2&amp;geoId=105646813&amp;keywords=User%20Experience%20Designer&amp;origin=JOB_ALERT_IN_APP_NOTIFICATION&amp;originToLandingJobPostings=4408814284%2C4408802896%2C4398689660%2C4390329469%2C4408870456%2C4410991322&amp;savedSearchId=5198310169&amp;sortBy=R" TargetMode="External"/><Relationship Id="rId79" Type="http://schemas.openxmlformats.org/officeDocument/2006/relationships/hyperlink" Target="https://producthackers.com/" TargetMode="External"/><Relationship Id="rId78" Type="http://schemas.openxmlformats.org/officeDocument/2006/relationships/hyperlink" Target="https://producthackers.com/" TargetMode="External"/><Relationship Id="rId71" Type="http://schemas.openxmlformats.org/officeDocument/2006/relationships/hyperlink" Target="https://www.linkedin.com/jobs/search/?alertAction=viewjobs&amp;currentJobId=4410987223&amp;distance=25&amp;f_TPR=a1777973913-&amp;f_WT=1%2C3%2C2&amp;geoId=105646813&amp;keywords=User%20Experience%20Designer&amp;origin=JOB_ALERT_IN_APP_NOTIFICATION&amp;originToLandingJobPostings=4410588797%2C4409338331%2C4389885900%2C4409353134%2C4410560005%2C4410704271&amp;savedSearchId=5198310169&amp;sortBy=R" TargetMode="External"/><Relationship Id="rId70" Type="http://schemas.openxmlformats.org/officeDocument/2006/relationships/hyperlink" Target="https://www.linkedin.com/jobs/search/?alertAction=viewjobs&amp;currentJobId=4410704271&amp;distance=25&amp;f_TPR=a1777973913-&amp;f_WT=1%2C3%2C2&amp;geoId=105646813&amp;keywords=User%20Experience%20Designer&amp;origin=JOB_ALERT_IN_APP_NOTIFICATION&amp;originToLandingJobPostings=4410588797%2C4409338331%2C4389885900%2C4409353134%2C4410560005%2C4410704271&amp;savedSearchId=5198310169&amp;sortBy=R" TargetMode="External"/><Relationship Id="rId139" Type="http://schemas.openxmlformats.org/officeDocument/2006/relationships/hyperlink" Target="https://www.linkedin.com/jobs/view/4423641390/?trk=eml-email_jobs_application_rejected_01-applied_jobs-0-applied_job" TargetMode="External"/><Relationship Id="rId138" Type="http://schemas.openxmlformats.org/officeDocument/2006/relationships/hyperlink" Target="https://getworkflex.com/?utm_source=chatgpt.com" TargetMode="External"/><Relationship Id="rId137" Type="http://schemas.openxmlformats.org/officeDocument/2006/relationships/hyperlink" Target="https://www.amazon.jobs/?utm_source=chatgpt.com" TargetMode="External"/><Relationship Id="rId132" Type="http://schemas.openxmlformats.org/officeDocument/2006/relationships/hyperlink" Target="https://www.linkedin.com/jobs/search-results/?currentJobId=4426839635&amp;eBP=CwEAAAGe1JjXaSfm7t74IuRWHwuAWingKVCTvGKk2pQA_PiGPKO1n1MnYd2D5BqtzjMz9gfsF3oyXHGDgKzLnPYyxlZZHJxjZQ6PXwrN_kOM4rZckrMmUy28AyhP8hD3rkRoNJeW5zXXxnkF9-1gkdR3CQCLiF_tXyPfXip9moVJelFJRhv76gjwdBBCVKmsG5VaRaIiArdy4c7CgAuX2bgraXnjhQnC5vW7HqUbtyzhV_0RKj5Q62Xh_3Y-MLwu1_A2xNW3pFFmywUgkTcpkRNy5EkCmxKvfEe2013qZcmJoSv119pufRUa9lPC67KQeUD7w8MffeagnUlfjAUy6EdSgtAqZkLXFLHYKlxlLNuqOHaFrhda4E38r8RUePCvOM75s2NSQmGdOo1vdoA4JA5MNRIrDRXd5SOoebG5PLMw2ibAc1EjgAdEy_i46jXgZRKpR4de5GtkXc-JyqBrDd3yzNc3njpxjZ0NN45R7C3udnSQSx4&amp;refId=FEYWEM%2BMCh2q%2FOXsqg9Hsg%3D%3D&amp;trackingId=TFU5Bg6%2B4xXF6QzQNuy10A%3D%3D&amp;keywords=product%20designer&amp;origin=JOB_SEARCH_PAGE_JOB_FILTER&amp;referralSearchId=3UXZO4Zvpbd%2BLxvWL%2Fmk1Q%3D%3D&amp;start=50&amp;f_TPR=r604800" TargetMode="External"/><Relationship Id="rId131" Type="http://schemas.openxmlformats.org/officeDocument/2006/relationships/hyperlink" Target="https://www.linkedin.com/jobs/search-results/?currentJobId=4429704133&amp;eBP=NOT_ELIGIBLE_FOR_CHARGING&amp;refId=dQXmYKMwnkvctYy6sGNI0A%3D%3D&amp;trackingId=Mz8nQN7O5C1Xl5%2FjWyNvaA%3D%3D&amp;keywords=product%20designer&amp;origin=JOB_SEARCH_PAGE_JOB_FILTER&amp;referralSearchId=EJNAQDW63LzTlILqvPZJtQ%3D%3D&amp;f_TPR=r86400" TargetMode="External"/><Relationship Id="rId130" Type="http://schemas.openxmlformats.org/officeDocument/2006/relationships/hyperlink" Target="https://www.linkedin.com/jobs/search-results/?currentJobId=4423655698&amp;eBP=NOT_ELIGIBLE_FOR_CHARGING&amp;refId=v0kCFj2s0os9G8OJiO%2Byqg%3D%3D&amp;trackingId=5h%2BH2gPQ9kpLvRVQqXeGSg%3D%3D&amp;keywords=product+designer&amp;origin=JOB_SEARCH_PAGE_JOB_FILTER&amp;referralSearchId=3UXZO4Zvpbd%2BLxvWL%2Fmk1Q%3D%3D" TargetMode="External"/><Relationship Id="rId136" Type="http://schemas.openxmlformats.org/officeDocument/2006/relationships/hyperlink" Target="https://careers.workflex.com/jobs/5091942-senior-ui-ux-designer" TargetMode="External"/><Relationship Id="rId135" Type="http://schemas.openxmlformats.org/officeDocument/2006/relationships/hyperlink" Target="https://www.linkedin.com/comm/jobs/view/4425631452?trackingId=&amp;refId=&amp;lipi=urn%3Ali%3Apage%3Aemail_email_jobs_application_rejected_01%3BvK0Hpkz6R%2BupYOPL0DXl9g%3D%3D&amp;midToken=AQHgMw6gCNcb2Q&amp;midSig=1i6Vo7uJ7BdIk1&amp;trk=eml-email_jobs_application_rejected_01-applied_jobs-0-applied_job&amp;trkEmail=eml-email_jobs_application_rejected_01-applied_jobs-0-applied_job-null-dnyviv~mqovakrg~5w-null-null&amp;eid=dnyviv-mqovakrg-5w&amp;otpToken=MWEwNzE4ZTMxMzI2Y2ZjNWIxMjQwNGVkNGUxY2U2YjU4ZWM5ZDA0MTllYWE4ZjYxNmNjNjAwNmI0ZjVjNWNmYmY1ZDBkMGU5MTdjMmIxZDI0NDg0ZDM4MzkzMDgwZDkyYjk1NmJhNDgyZDE2NTllMjJjZWQxNzcxLDEsMQ%3D%3D" TargetMode="External"/><Relationship Id="rId134" Type="http://schemas.openxmlformats.org/officeDocument/2006/relationships/hyperlink" Target="https://www.linkedin.com/jobs/search-results/?currentJobId=4428026861&amp;eBP=NOT_ELIGIBLE_FOR_CHARGING&amp;refId=dQXmYKMwnkvctYy6sGNI0A%3D%3D&amp;trackingId=GrzUjToQO%2Fas2DSKCXOH%2Fg%3D%3D&amp;keywords=product+designer&amp;origin=JOB_SEARCH_PAGE_JOB_FILTER&amp;referralSearchId=EJNAQDW63LzTlILqvPZJtQ%3D%3D" TargetMode="External"/><Relationship Id="rId133" Type="http://schemas.openxmlformats.org/officeDocument/2006/relationships/hyperlink" Target="https://www.linkedin.com/jobs/search-results/?currentJobId=4426839635&amp;eBP=CwEAAAGe0tK5fbk4sSlVorSRKWWfO1Bxi4roZvJfKRQwOyj_K_qpnr9dy-WXPCY9kfcNw-Xu_qGyTMvAbaDyFh3wMpYyVxK5F4qvvA2otSXMN7G_CDFNgGD9AGfGvJfJIibqELPU-wRlNvMg7DfgyeLSMjI8UttAgPplkI9TmAESYhwYCCzzXAjeKIW_QZecUmcnwh-3xwoB0R8ZwmlP3uc-ucaEqAwFRyTVUAgtu12HseYfRYs_mshJ0pDDu3UvjctN7Ut2008E1UwEuBKhudETqXkeDy5Duxu3fNg50Z7SnkvAO2KQ-JdgYcyG8qozam2WOHtyPaMlqOqkyn6lQcUktqjAjIaG0ymUw_hmgM_OkJ8ifsvKCCNqAQg3LjKp-1-0TnYEdO49BHiQdoPNNuVpLNrdI0aWLaumXFQHXEx7NkKrQayNtP5VjKVEDXcYNY3Q3bpZAsPmHAe92UZCzux4_fD9YSEIqx8CQWBS2FwZkPDE&amp;refId=dQXmYKMwnkvctYy6sGNI0A%3D%3D&amp;trackingId=MRarwx7RFmWlajgQiK%2BzSA%3D%3D&amp;keywords=product+designer&amp;origin=JOB_SEARCH_PAGE_JOB_FILTER&amp;referralSearchId=EJNAQDW63LzTlILqvPZJtQ%3D%3D" TargetMode="External"/><Relationship Id="rId62" Type="http://schemas.openxmlformats.org/officeDocument/2006/relationships/hyperlink" Target="https://job-boards.greenhouse.io/figma/jobs/5711468004?gh_jid=5711468004" TargetMode="External"/><Relationship Id="rId61" Type="http://schemas.openxmlformats.org/officeDocument/2006/relationships/hyperlink" Target="https://jobs.lever.co/secureframe/74d169be-5146-4839-9692-edc5ffd22efb" TargetMode="External"/><Relationship Id="rId64" Type="http://schemas.openxmlformats.org/officeDocument/2006/relationships/hyperlink" Target="https://es.indeed.com/viewjob?jk=96e8f6062ada6e9f&amp;tk=1jnv1kqodhbft805&amp;from=hp&amp;xpse=SoDy67I3k_LabRTNjh0LbzkdCdPP&amp;xfps=08b9693a-28e6-45a4-8188-01328078e716&amp;xkcb=SoA467M3k_LchLTDRB0LbzkdCdPP" TargetMode="External"/><Relationship Id="rId63" Type="http://schemas.openxmlformats.org/officeDocument/2006/relationships/hyperlink" Target="https://es.indeed.com/jobs?q=product+designer&amp;from=searchOnHP&amp;start=10&amp;vjk=b6be1af10effc5dc" TargetMode="External"/><Relationship Id="rId66" Type="http://schemas.openxmlformats.org/officeDocument/2006/relationships/hyperlink" Target="https://es.indeed.com/viewjob?from=app-tracker-post_apply-appcard&amp;hl=es&amp;jk=25f02c891e182870&amp;tk=1jnv4n41aggh8800" TargetMode="External"/><Relationship Id="rId65" Type="http://schemas.openxmlformats.org/officeDocument/2006/relationships/hyperlink" Target="https://es.indeed.com/viewjob?from=app-tracker-post_apply-appcard&amp;hl=es&amp;jk=c262bff7b41546f5&amp;tk=1jnv4n41aggh8800" TargetMode="External"/><Relationship Id="rId171" Type="http://schemas.openxmlformats.org/officeDocument/2006/relationships/table" Target="../tables/table2.xml"/><Relationship Id="rId68" Type="http://schemas.openxmlformats.org/officeDocument/2006/relationships/hyperlink" Target="https://career5.successfactors.eu/career?career_ns=job_listing&amp;company=C0000880172P&amp;navBarLevel=JOB_SEARCH&amp;career_job_req_id=13041" TargetMode="External"/><Relationship Id="rId170" Type="http://schemas.openxmlformats.org/officeDocument/2006/relationships/table" Target="../tables/table1.xml"/><Relationship Id="rId67" Type="http://schemas.openxmlformats.org/officeDocument/2006/relationships/hyperlink" Target="https://es.indeed.com/viewjob?from=app-tracker-post_apply-appcard&amp;hl=es&amp;jk=1e1d31dbdffdd643&amp;tk=1jnv4n41aggh8800" TargetMode="External"/><Relationship Id="rId60" Type="http://schemas.openxmlformats.org/officeDocument/2006/relationships/hyperlink" Target="https://www.linkedin.com/jobs/search/?alertAction=viewjobs&amp;currentJobId=4409300083&amp;distance=25&amp;f_TPR=a1777883507-&amp;f_WT=1%2C3%2C2&amp;geoId=105646813&amp;keywords=User%20Experience%20Designer&amp;origin=JOB_ALERT_IN_APP_NOTIFICATION&amp;originToLandingJobPostings=4410075873%2C4408180078%2C4409300083%2C4410061712%2C4398377088%2C4408681111&amp;savedSearchId=5198310169&amp;sortBy=R" TargetMode="External"/><Relationship Id="rId165" Type="http://schemas.openxmlformats.org/officeDocument/2006/relationships/hyperlink" Target="https://www.linkedin.com/jobs/search-results/?currentJobId=4431523622&amp;eBP=CwEAAAGfFG5QzyrRdHZ-MyOQpCyQEl1UceFqjuhRTJHiWt6KF-gdNKOYhrhF0HEvRzFEJRtpVmmSch8NzB4vz7BxlZgIp5MNqfufPeg1Bq09cEXl7Do5v4PusOPtSkbHgSs3Tm6fC71i543EkHlwWnHGvcT-dzvaM-wh-SOeZXUOnryMtCj8DDX91MSDwM-4UNLfatp4i69fgs9WoCRi5FHfzwdHGkG5Ldt1N5kGsgYpqA9VxRnXD-IiZ_ZTIUOWQ5T1rZX5jMLMmrTKkWCiISVBgMQeq8DG98RdLO24ze1TuIz2h99LlWtpNXbDLjmiIZUCFJ29eNvC2iji2tvMzKHh0bzlx__YY3N-BnvlGD2z6UYI18FO0LQtqCE7jHVlA6JYosz7-E0VOby4GaXUN4DG37bmGzSps0hDATazjSPnmdUTbHqq9elw0sKS1ydtMwbnbC0-1fYpQBuFgt3lYI2MfnUMjJ7k2HdXA-LfC1XcJNjP65DY98Op&amp;refId=Ze5%2BpBkL8yku16mBUxlXCQ%3D%3D&amp;trackingId=KFnOJubedJhNMJKxNVbwpg%3D%3D&amp;keywords=ux%2Fui%20posted%20in%20the%20past%2024%20hours&amp;origin=SEMANTIC_SEARCH_HISTORY&amp;geoId=105646813&amp;distance=25" TargetMode="External"/><Relationship Id="rId69" Type="http://schemas.openxmlformats.org/officeDocument/2006/relationships/hyperlink" Target="https://jobs.ashbyhq.com/alan/4cfa1d2f-c930-4ae5-90c6-96eb1c8ada7f" TargetMode="External"/><Relationship Id="rId164" Type="http://schemas.openxmlformats.org/officeDocument/2006/relationships/hyperlink" Target="http://bark.com" TargetMode="External"/><Relationship Id="rId163" Type="http://schemas.openxmlformats.org/officeDocument/2006/relationships/hyperlink" Target="https://www.linkedin.com/jobs/search-results/?currentJobId=4436204028&amp;eBP=CwEAAAGfPPfs9qIzh3HOwwbErSyAUOICZ3codFNCzLalGroxoGKSIDyEeKtV-9If9jBHtWWMvWnWiD9TUL046Uq9VU7LCRLamcWg38xyswMvn_JcD7iLlZn4D4x_npT8BuB1BjE4KHyVUHyCUEtfFVRULVCwOfZwWM0ph0hsj-WvRTBcYf9bdOtoWtORH_i4cr4Bj6-DVNyyTHh9L5tYKH0VZZS27-CLdfLVv_3epkYjoWlY5nbuYZBJvxMrluWNpJ1CseeojQBzQja4C-cn5myRfHKdgBDKNfLaNc6pucg5Ojy1eQUedFS6hDu1kLOROpFYAx8fi6hXToHDe3A4mqRkn5xg_Ic4xke3wkNDMof15Xf59JZXbQAQqgpSRBhy0z-D8i7BGPHs47DX95kUvUskRbG1vMycAsJoJLQX3umtrPP8dyG38AlAdGLx8KjcVO8LqyRSllqlMN9vfpC-Ldjs4Gd3YDqhD2WTydFH1E4yZzvL&amp;refId=gqWpkfQJH%2F17koWETP4aAA%3D%3D&amp;trackingId=7p%2FT9rYI30GvvrE%2BvOw8Pw%3D%3D&amp;keywords=product%20Designer%20posted%20in%20the%20past%202%20days&amp;origin=SEMANTIC_SEARCH_LANDING_PAGE" TargetMode="External"/><Relationship Id="rId162" Type="http://schemas.openxmlformats.org/officeDocument/2006/relationships/hyperlink" Target="https://www.linkedin.com/jobs/search-results/?currentJobId=4436596772&amp;eBP=CwEAAAGfPO18uoCCRI6twQSSg_Vy6d6I4vH1BVIkw6K45mNPI4-gDsXQYrNX-_jknLjIuN-_aAlGipG9koD0GCH2cltbgczoJ3RvrvVBwwOCs2MNCxvnqMq8VZEI_dWD2r9ZppG3WXmLE0PTi4HStAph5RYrhCSsBYkeBKuUBNjxGoP-g0PQjNOTQNubR5Xg11L1KvkktmMmsEcwWMynm2qyV3X157EdLJqtyxNAKIYs92T_PjrrxnffOpAED6DGo1xj803WPD_OQw9XIu0NJAOjoWFUgrbUiYxUjqd63n5RGCZ3eRu-jcb0wNsWnxKV1R6zY4wKVnkLoSfkO9y4v6UKJ9uWm4o6fWeuefG5rWEU47i6iBLb9PTFwbnD-ZqkV5bE6YHKoGJvsZ0jf3Pcvs9JlB8-buvxinyqEFEGc3iGqJGAlFBSv6MwFDVbV9sGq6pldJyWr684ojR6nW16vLkKLfI1aRwasRMkVvOvANVQMG2cb3lhj29q&amp;refId=c0ofM11mwxooRCDDUCb2rQ%3D%3D&amp;trackingId=Kf8R4NHoXQYPtJSOggk8fA%3D%3D&amp;keywords=product%20Designer%20posted%20in%20the%20past%2024%20hours&amp;origin=SEMANTIC_SEARCH_HISTORY&amp;geoId=105646813&amp;distance=25" TargetMode="External"/><Relationship Id="rId167" Type="http://schemas.openxmlformats.org/officeDocument/2006/relationships/drawing" Target="../drawings/drawing1.xml"/><Relationship Id="rId166" Type="http://schemas.openxmlformats.org/officeDocument/2006/relationships/hyperlink" Target="https://www.linkedin.com/jobs/search-results/?currentJobId=4438596898&amp;eBP=CwEAAAGfRoQJrPeIbktgADvVmSfRPk89HlRwSueChOwMIUZN9Yk780B_bJ4OVAhV_OVgXvHuPm5CHq_IFiOg7ezN4RRPwhwde0b1Q4gdw_nAU4sAB4ldDqkFX9i4pYT5KV9r1EjV1IKIRxPmLrEMD6XaE3Xa7W9PJmKvBBn2STaBRUDlq4CQRb_ghD-0BQlJTopL_cY9BEGhahNuHeQsHfRDB2n5bhtLOi5EseqbKloYr3xhj4f6QEg2PkX8HbVGeGgTax_V3U9171gowvlGw3ctOwBumP76ECY-Ab10LCHWbpfwh8TgJHkiJb2r_kBCGmeURqjz0qYl6j5Sglu7eY6zTBgBOdipFJlThIAsC5QWu6PwRV2jBywwBJ8i41mhBKE5xSkNIhXKLyqgbTI6imhFq9d11ecpbsuxBubwv60gqYh1qaNBhEvi7MGPHxTDokZb3hD6gzV4wwnn4D0Hf63wGF0qWeUFHKTQQLrLCzxF8P3w&amp;refId=ZMXuu73YVws4mmw0y2ER2A%3D%3D&amp;trackingId=MM5hou9RT7BwG1gtAuqhKQ%3D%3D&amp;keywords=product%20Designer%20posted%20in%20the%20past%202%20days&amp;origin=SEMANTIC_SEARCH_HISTORY&amp;geoId=105646813&amp;distance=25" TargetMode="External"/><Relationship Id="rId51" Type="http://schemas.openxmlformats.org/officeDocument/2006/relationships/hyperlink" Target="https://team.freshlycosmetics.com/jobs/7655502-ux-ui-designer" TargetMode="External"/><Relationship Id="rId50" Type="http://schemas.openxmlformats.org/officeDocument/2006/relationships/hyperlink" Target="https://www.linkedin.com/jobs/view/4410061712/?trk=eml-email_jobs_job_application_viewed_01-similar_jobs-0-similar_job&amp;refId=Kg4cEXn%2BUSaAQLD9PvsDEA%3D%3D&amp;trackingId=4yH2ftXMJBllmyEzPcdOvw%3D%3D" TargetMode="External"/><Relationship Id="rId53" Type="http://schemas.openxmlformats.org/officeDocument/2006/relationships/hyperlink" Target="https://www.linkedin.com/jobs/collections/recommended/?currentJobId=4408645913&amp;discover=recommended&amp;discoveryOrigin=JOBS_HOME_JYMBII" TargetMode="External"/><Relationship Id="rId52" Type="http://schemas.openxmlformats.org/officeDocument/2006/relationships/hyperlink" Target="https://www.linkedin.com/jobs/view/4400812752/" TargetMode="External"/><Relationship Id="rId55" Type="http://schemas.openxmlformats.org/officeDocument/2006/relationships/hyperlink" Target="https://www.linkedin.com/jobs/collections/recommended/?currentJobId=4386917043&amp;discover=recommended&amp;discoveryOrigin=JOBS_HOME_JYMBII" TargetMode="External"/><Relationship Id="rId161" Type="http://schemas.openxmlformats.org/officeDocument/2006/relationships/hyperlink" Target="https://www.linkedin.com/jobs/collections/recommended/?currentJobId=4432376242&amp;discover=recommended&amp;discoveryOrigin=JOBS_HOME_JYMBII" TargetMode="External"/><Relationship Id="rId54" Type="http://schemas.openxmlformats.org/officeDocument/2006/relationships/hyperlink" Target="https://www.linkedin.com/jobs/collections/recommended/?currentJobId=4410027327&amp;discover=recommended&amp;discoveryOrigin=JOBS_HOME_JYMBII" TargetMode="External"/><Relationship Id="rId160" Type="http://schemas.openxmlformats.org/officeDocument/2006/relationships/hyperlink" Target="https://www.linkedin.com/jobs/collections/recommended/?currentJobId=4386323261&amp;discover=recommended&amp;discoveryOrigin=JOBS_HOME_JYMBII" TargetMode="External"/><Relationship Id="rId57" Type="http://schemas.openxmlformats.org/officeDocument/2006/relationships/hyperlink" Target="https://www.linkedin.com/jobs/collections/recommended/?currentJobId=4404572934&amp;discover=recommended&amp;discoveryOrigin=JOBS_HOME_JYMBII" TargetMode="External"/><Relationship Id="rId56" Type="http://schemas.openxmlformats.org/officeDocument/2006/relationships/hyperlink" Target="https://jobs.ashbyhq.com/checkly/93822939-0e54-48f1-8747-1a754d72351c?utm_source=3PLlpnaozL" TargetMode="External"/><Relationship Id="rId159" Type="http://schemas.openxmlformats.org/officeDocument/2006/relationships/hyperlink" Target="https://www.linkedin.com/jobs/collections/recommended/?currentJobId=4436376698&amp;discover=recommended&amp;discoveryOrigin=JOBS_HOME_JYMBII" TargetMode="External"/><Relationship Id="rId59" Type="http://schemas.openxmlformats.org/officeDocument/2006/relationships/hyperlink" Target="https://www.linkedin.com/jobs/collections/recommended/?currentJobId=4406506322&amp;discover=recommended&amp;discoveryOrigin=JOBS_HOME_JYMBII" TargetMode="External"/><Relationship Id="rId154" Type="http://schemas.openxmlformats.org/officeDocument/2006/relationships/hyperlink" Target="https://www.linkedin.com/jobs/search-results/?currentJobId=4436243892&amp;eBP=NOT_ELIGIBLE_FOR_CHARGING&amp;refId=gqWpkfQJH%2F17koWETP4aAA%3D%3D&amp;trackingId=dRZMUHAOkNaNZ3FktbYfpA%3D%3D&amp;keywords=product%20Designer%20posted%20in%20the%20past%202%20days&amp;origin=SEMANTIC_SEARCH_LANDING_PAGE" TargetMode="External"/><Relationship Id="rId58" Type="http://schemas.openxmlformats.org/officeDocument/2006/relationships/hyperlink" Target="https://jobs.innocv.com/jobs/7492454-ux-ui-designer" TargetMode="External"/><Relationship Id="rId153" Type="http://schemas.openxmlformats.org/officeDocument/2006/relationships/hyperlink" Target="http://spin.ai" TargetMode="External"/><Relationship Id="rId152" Type="http://schemas.openxmlformats.org/officeDocument/2006/relationships/hyperlink" Target="https://www.linkedin.com/jobs/search-results/?currentJobId=4433932922&amp;eBP=CwEAAAGfPPfs9kyV5pYbAJ8e6voeYVrYgg14Dy56dyA6IRQWDqt3nTiRJ5O5pvKEGgTFExYQOicO5Cf2McV81yZyppw9mkFpVp85DZvjW8tYJtf3w3-AQ1fmEq9WRBebKS5uWmHUIlwOLUw-f8lKAV0B3WfLyyy8bqQEKsnqMiX5uHRsX6jSd3E3U7XGyZPD2YH-ct5l8rlbnQ8n9q2D0Sv-02sj2pRXky2TfygEw18vR_XgmGRKZyshlMwiNH5uD6BwEalkXmUjxKA2ktgTkTWtUpIksnEKqFGsKhlnugzPOM84tWkmrl9ByAW5a55Bzy47hkSdzjNbplFbKDzyEPPcaH0SdQWPguSgs9OVaLbt8x17Z958SVLkNd2EyzymXM5fMxZfJjogqSVYwARxmyUBVmzbaN7-GwA62IDpJXHxooaZds3l__RGfvKIAozdtVgt9BwFeCEA4qJPhgvoJM7U1ok8m2eFIA&amp;refId=gqWpkfQJH%2F17koWETP4aAA%3D%3D&amp;trackingId=o%2Bet5G3U0FcSkqOk0BovbA%3D%3D&amp;keywords=product%20Designer%20posted%20in%20the%20past%202%20days&amp;origin=SEMANTIC_SEARCH_LANDING_PAGE" TargetMode="External"/><Relationship Id="rId151" Type="http://schemas.openxmlformats.org/officeDocument/2006/relationships/hyperlink" Target="https://www.linkedin.com/jobs/search-results/?currentJobId=4437413195&amp;eBP=CwEAAAGfPO18uo1iDMX9yh2bLBGLho_eQRfgohPvU4iQ6mzLj3JWykSVFWbaw1JrowUB_zWSfz1sCA9Uf9QRo-dvhrMSbx6gVgo_3hVdw3PH6pvDIoe0DLvicFL9EYqoCmoEyTOj9acIYZK0rt5eQvgI010JgY-jqfqcU0s9EptN8jP434y4weihcbOGs0WsQg2KJXJRKcYjL1p1q8BVWShi6enT2ShWUEIGOFhPUj86TrHb6pf7nO3xh-U3N5ZRomcolHxtEhLZ3CwXqDVija6JFRDXR2DGfBUfCaHuMmMVS3P3IW0Uiwn3Jc8SES3H1O7IFcsStslop62vGifX-KRsS6sD_clgd8PqweW56XKoSrvP4_xVpHyXUKVbquiQWpW8NZ2CxASTqUWYvAFUJMBZDWM8cwNmJCY9ghSq1sUpTvJR4i4HJJx56lBvM6ene8C-HtcPSOYtbFOr7zyBXHpHK6EJoChvXZxumyc&amp;refId=c0ofM11mwxooRCDDUCb2rQ%3D%3D&amp;trackingId=c7sFFQVZhzBBLlXfP65r7Q%3D%3D&amp;keywords=product%20Designer%20posted%20in%20the%20past%2024%20hours&amp;origin=SEMANTIC_SEARCH_HISTORY&amp;geoId=105646813&amp;distance=25" TargetMode="External"/><Relationship Id="rId158" Type="http://schemas.openxmlformats.org/officeDocument/2006/relationships/hyperlink" Target="https://www.linkedin.com/jobs/collections/recommended/?currentJobId=4433177708" TargetMode="External"/><Relationship Id="rId157" Type="http://schemas.openxmlformats.org/officeDocument/2006/relationships/hyperlink" Target="https://www.linkedin.com/jobs/search-results/?currentJobId=4436243537&amp;eBP=CwEAAAGfPPfs9y5TWMoCFKcsHYYZiySdgFHyXKtI2FS-pWknU5JCfHGThQfU7cMtECiYAVMs7SmWeeqXXqJIxpmpEx8cmyxct65gBqpYvl-nIznr1373JlI5RI70DkIxpBvOPpzx28TkKZkFl3gpKzT9aAFZ9CmtCn7XvbgX9mVNIHFPi9XcecpWr9WxsgkV2WL1iUN4Gr-IPPLraWxhuc6Fsj44qWgI5sxlniQza8yIhk9c2Zi6N8Ia1ETaDv-RDf-VmB5IQwoVqJcNr1izQxz719UI4KFbogyIYSu95JpCwv9c34SD-R2el7lqcgtLH1aGbVa9Q91l3YT7mQpWuQ2wpcfQug23hBWArrR1Wh0jOdLt8fHUPPlNzFxXuoUHGL43mHH5PPCiIdHSb65-gh95G7J6-NcpsX2yVQPyArXIHZWaDUtc3OsrEvRXqxVHum5BPS-gRL1Iq3ki5WdV5XwWF9Lluo7tPepVdlfez_VfHsYQsXvg0DJCtVESug&amp;refId=gqWpkfQJH%2F17koWETP4aAA%3D%3D&amp;trackingId=k3gL9dFK1w3j9xuz11S0nw%3D%3D&amp;keywords=product%20Designer%20posted%20in%20the%20past%202%20days&amp;origin=SEMANTIC_SEARCH_LANDING_PAGE" TargetMode="External"/><Relationship Id="rId156" Type="http://schemas.openxmlformats.org/officeDocument/2006/relationships/hyperlink" Target="https://www.linkedin.com/jobs/search-results/?currentJobId=4436548183&amp;eBP=CwEAAAGfPPfs91bQPYIVJQ8aKYWHcjMf3_6ibFjL1xnXabBiQ5eLLFfxPuryAUaXP8E6y9Nsxqwlolu6Z4ZpbzzRGr_sBIEYl36v16WLKVQlyIJYPUdZrjAfgi3kaUGSEhzeGCmR6kjFxn7_z9Qi0lYFBIGnMZIpsY66btuNbCSWCTonPoIBfAaVtKWYy2PWWgUXuN0sBfCjYriig5uNo6NbusNTsJXcoFaCGCYMT9NiqsnF6crf3gZbUzQO3V3_lF9rf1yK0WOX8xjjdBOB3HWQFZ39CecK9zf9DcXVOv5w_Z-7tPgHMV_j47h7eGn0YR__FmMikKAic0fHVI0yL4-6VGGZILdx1CI7fvXrzbN2JJzMw_G8I53I32-wZUqn2V_GGSKQ7sDiSgu0R6NmX-cB7ynbGN7-sH-Fkl-NG-E0nVqIiaQIK_UoV31dFw9n3KGvLnHkfNbAbC7KMPfcpK-ck5JT7yHsMYt8rwQ9hSVkTUkrbxIgCQ&amp;refId=gqWpkfQJH%2F17koWETP4aAA%3D%3D&amp;trackingId=VyEE7CHO4juouPXOGwTcfQ%3D%3D&amp;keywords=product%20Designer%20posted%20in%20the%20past%202%20days&amp;origin=SEMANTIC_SEARCH_LANDING_PAGE" TargetMode="External"/><Relationship Id="rId155" Type="http://schemas.openxmlformats.org/officeDocument/2006/relationships/hyperlink" Target="https://www.linkedin.com/jobs/search-results/?currentJobId=4437775235&amp;eBP=NOT_ELIGIBLE_FOR_CHARGING&amp;refId=gqWpkfQJH%2F17koWETP4aAA%3D%3D&amp;trackingId=cDHJJjdZkV0X1yxwBu71jg%3D%3D&amp;keywords=product%20Designer%20posted%20in%20the%20past%202%20days&amp;origin=SEMANTIC_SEARCH_LANDING_PAG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38"/>
    <col customWidth="1" min="2" max="2" width="7.25"/>
    <col customWidth="1" min="3" max="3" width="11.13"/>
    <col customWidth="1" min="4" max="5" width="17.13"/>
    <col customWidth="1" min="6" max="6" width="17.88"/>
    <col customWidth="1" min="7" max="7" width="18.25"/>
    <col customWidth="1" min="8" max="8" width="15.75"/>
    <col customWidth="1" min="9" max="9" width="25.0"/>
    <col customWidth="1" min="10" max="10" width="23.5"/>
    <col customWidth="1" min="11" max="11" width="23.25"/>
    <col customWidth="1" min="12" max="12" width="128.88"/>
    <col customWidth="1" min="13" max="13" width="75.0"/>
    <col customWidth="1" min="14" max="14" width="35.13"/>
    <col customWidth="1" min="15" max="15" width="59.0"/>
    <col customWidth="1" min="16" max="16" width="66.13"/>
    <col customWidth="1" min="17" max="17" width="62.0"/>
    <col customWidth="1" min="18" max="18" width="80.88"/>
    <col customWidth="1" min="19" max="19" width="75.75"/>
    <col customWidth="1" min="20" max="24" width="62.5"/>
  </cols>
  <sheetData>
    <row r="1" ht="37.5" customHeight="1">
      <c r="A1" s="1" t="s">
        <v>0</v>
      </c>
      <c r="B1" s="1" t="s">
        <v>1</v>
      </c>
      <c r="C1" s="2" t="s">
        <v>2</v>
      </c>
      <c r="D1" s="1" t="s">
        <v>3</v>
      </c>
      <c r="E1" s="3" t="s">
        <v>4</v>
      </c>
      <c r="F1" s="1" t="s">
        <v>5</v>
      </c>
      <c r="G1" s="1" t="s">
        <v>6</v>
      </c>
      <c r="H1" s="3" t="s">
        <v>7</v>
      </c>
      <c r="I1" s="1" t="s">
        <v>8</v>
      </c>
      <c r="J1" s="1" t="s">
        <v>9</v>
      </c>
      <c r="K1" s="1" t="s">
        <v>10</v>
      </c>
      <c r="L1" s="4" t="s">
        <v>11</v>
      </c>
      <c r="M1" s="3" t="s">
        <v>12</v>
      </c>
      <c r="N1" s="1" t="s">
        <v>13</v>
      </c>
      <c r="O1" s="1" t="s">
        <v>14</v>
      </c>
      <c r="P1" s="5" t="s">
        <v>15</v>
      </c>
      <c r="Q1" s="5" t="s">
        <v>16</v>
      </c>
      <c r="R1" s="5" t="s">
        <v>17</v>
      </c>
      <c r="S1" s="5" t="s">
        <v>18</v>
      </c>
      <c r="T1" s="5" t="s">
        <v>19</v>
      </c>
      <c r="U1" s="5" t="s">
        <v>20</v>
      </c>
      <c r="V1" s="5" t="s">
        <v>21</v>
      </c>
      <c r="W1" s="5" t="s">
        <v>22</v>
      </c>
      <c r="X1" s="5" t="s">
        <v>23</v>
      </c>
    </row>
    <row r="2" ht="22.5" customHeight="1">
      <c r="A2" s="6"/>
      <c r="B2" s="7">
        <v>0.0</v>
      </c>
      <c r="C2" s="8"/>
      <c r="D2" s="7"/>
      <c r="E2" s="7"/>
      <c r="F2" s="7"/>
      <c r="G2" s="7"/>
      <c r="H2" s="9"/>
      <c r="I2" s="10"/>
      <c r="J2" s="10" t="s">
        <v>24</v>
      </c>
      <c r="K2" s="10"/>
      <c r="L2" s="7" t="s">
        <v>25</v>
      </c>
      <c r="M2" s="7" t="s">
        <v>26</v>
      </c>
      <c r="N2" s="7" t="s">
        <v>27</v>
      </c>
      <c r="O2" s="7" t="s">
        <v>28</v>
      </c>
      <c r="P2" s="7"/>
      <c r="Q2" s="7"/>
      <c r="R2" s="7"/>
      <c r="S2" s="7"/>
      <c r="T2" s="7"/>
      <c r="U2" s="1"/>
      <c r="V2" s="1"/>
      <c r="W2" s="1"/>
      <c r="X2" s="1"/>
    </row>
    <row r="3" ht="22.5" customHeight="1">
      <c r="A3" s="11"/>
      <c r="B3" s="7">
        <v>1.0</v>
      </c>
      <c r="C3" s="8"/>
      <c r="D3" s="7" t="s">
        <v>29</v>
      </c>
      <c r="E3" s="12" t="s">
        <v>30</v>
      </c>
      <c r="F3" s="13" t="s">
        <v>31</v>
      </c>
      <c r="G3" s="13" t="s">
        <v>32</v>
      </c>
      <c r="H3" s="14" t="s">
        <v>33</v>
      </c>
      <c r="I3" s="15" t="s">
        <v>34</v>
      </c>
      <c r="J3" s="13"/>
      <c r="K3" s="13"/>
      <c r="L3" s="16" t="s">
        <v>35</v>
      </c>
      <c r="M3" s="13" t="s">
        <v>36</v>
      </c>
      <c r="N3" s="13" t="s">
        <v>37</v>
      </c>
      <c r="O3" s="16" t="s">
        <v>38</v>
      </c>
      <c r="P3" s="16" t="s">
        <v>39</v>
      </c>
      <c r="Q3" s="17" t="s">
        <v>40</v>
      </c>
      <c r="R3" s="16"/>
      <c r="S3" s="18" t="s">
        <v>41</v>
      </c>
      <c r="T3" s="17" t="s">
        <v>42</v>
      </c>
      <c r="U3" s="19"/>
      <c r="V3" s="19"/>
      <c r="W3" s="19"/>
      <c r="X3" s="19"/>
    </row>
    <row r="4" ht="22.5" customHeight="1">
      <c r="A4" s="20"/>
      <c r="B4" s="7">
        <v>2.0</v>
      </c>
      <c r="C4" s="8"/>
      <c r="D4" s="7" t="s">
        <v>43</v>
      </c>
      <c r="E4" s="12" t="s">
        <v>44</v>
      </c>
      <c r="F4" s="7" t="s">
        <v>45</v>
      </c>
      <c r="G4" s="7" t="s">
        <v>32</v>
      </c>
      <c r="H4" s="14">
        <v>1.0</v>
      </c>
      <c r="I4" s="21" t="s">
        <v>46</v>
      </c>
      <c r="J4" s="7"/>
      <c r="K4" s="7"/>
      <c r="L4" s="22" t="s">
        <v>47</v>
      </c>
      <c r="M4" s="23" t="s">
        <v>48</v>
      </c>
      <c r="N4" s="23" t="s">
        <v>49</v>
      </c>
      <c r="O4" s="22" t="s">
        <v>50</v>
      </c>
      <c r="P4" s="22" t="s">
        <v>51</v>
      </c>
      <c r="Q4" s="24" t="s">
        <v>52</v>
      </c>
      <c r="R4" s="25"/>
      <c r="S4" s="26"/>
      <c r="T4" s="25"/>
      <c r="U4" s="27"/>
      <c r="V4" s="27"/>
      <c r="W4" s="27"/>
      <c r="X4" s="27"/>
    </row>
    <row r="5" ht="22.5" customHeight="1">
      <c r="A5" s="11"/>
      <c r="B5" s="7">
        <v>3.0</v>
      </c>
      <c r="C5" s="8"/>
      <c r="D5" s="7" t="s">
        <v>43</v>
      </c>
      <c r="E5" s="12" t="s">
        <v>53</v>
      </c>
      <c r="F5" s="7" t="s">
        <v>54</v>
      </c>
      <c r="G5" s="7" t="s">
        <v>55</v>
      </c>
      <c r="H5" s="14" t="s">
        <v>56</v>
      </c>
      <c r="I5" s="21" t="s">
        <v>57</v>
      </c>
      <c r="J5" s="7"/>
      <c r="K5" s="7"/>
      <c r="L5" s="23" t="s">
        <v>58</v>
      </c>
      <c r="M5" s="23" t="s">
        <v>59</v>
      </c>
      <c r="N5" s="23" t="s">
        <v>60</v>
      </c>
      <c r="O5" s="23" t="s">
        <v>61</v>
      </c>
      <c r="P5" s="23" t="s">
        <v>62</v>
      </c>
      <c r="Q5" s="24" t="s">
        <v>63</v>
      </c>
      <c r="R5" s="7"/>
      <c r="S5" s="28"/>
      <c r="T5" s="7"/>
      <c r="U5" s="1"/>
      <c r="V5" s="1"/>
      <c r="W5" s="1"/>
      <c r="X5" s="1"/>
    </row>
    <row r="6" ht="22.5" customHeight="1">
      <c r="A6" s="29"/>
      <c r="B6" s="7">
        <v>4.0</v>
      </c>
      <c r="C6" s="8"/>
      <c r="D6" s="7" t="s">
        <v>43</v>
      </c>
      <c r="E6" s="12" t="s">
        <v>64</v>
      </c>
      <c r="F6" s="23" t="s">
        <v>65</v>
      </c>
      <c r="G6" s="7" t="s">
        <v>32</v>
      </c>
      <c r="H6" s="30"/>
      <c r="I6" s="21" t="s">
        <v>66</v>
      </c>
      <c r="J6" s="7"/>
      <c r="K6" s="7"/>
      <c r="L6" s="23" t="s">
        <v>67</v>
      </c>
      <c r="M6" s="23" t="s">
        <v>68</v>
      </c>
      <c r="N6" s="23" t="s">
        <v>69</v>
      </c>
      <c r="O6" s="23" t="s">
        <v>70</v>
      </c>
      <c r="P6" s="7" t="s">
        <v>71</v>
      </c>
      <c r="Q6" s="24" t="s">
        <v>72</v>
      </c>
      <c r="R6" s="7"/>
      <c r="S6" s="28"/>
      <c r="T6" s="7"/>
      <c r="U6" s="1"/>
      <c r="V6" s="1"/>
      <c r="W6" s="1"/>
      <c r="X6" s="1"/>
    </row>
    <row r="7" ht="22.5" customHeight="1">
      <c r="A7" s="31"/>
      <c r="B7" s="32">
        <v>5.0</v>
      </c>
      <c r="C7" s="33" t="s">
        <v>73</v>
      </c>
      <c r="D7" s="32" t="s">
        <v>74</v>
      </c>
      <c r="E7" s="34" t="s">
        <v>75</v>
      </c>
      <c r="F7" s="32" t="s">
        <v>76</v>
      </c>
      <c r="G7" s="32" t="s">
        <v>77</v>
      </c>
      <c r="H7" s="35" t="s">
        <v>78</v>
      </c>
      <c r="I7" s="32" t="s">
        <v>79</v>
      </c>
      <c r="J7" s="32"/>
      <c r="K7" s="32"/>
      <c r="L7" s="36" t="s">
        <v>80</v>
      </c>
      <c r="M7" s="32" t="s">
        <v>81</v>
      </c>
      <c r="N7" s="32" t="s">
        <v>82</v>
      </c>
      <c r="O7" s="32" t="s">
        <v>83</v>
      </c>
      <c r="P7" s="32" t="s">
        <v>84</v>
      </c>
      <c r="Q7" s="37" t="s">
        <v>85</v>
      </c>
      <c r="R7" s="32"/>
      <c r="S7" s="38" t="s">
        <v>86</v>
      </c>
      <c r="T7" s="32"/>
      <c r="U7" s="39"/>
      <c r="V7" s="39"/>
      <c r="W7" s="39"/>
      <c r="X7" s="39"/>
    </row>
    <row r="8" ht="22.5" customHeight="1">
      <c r="A8" s="11"/>
      <c r="B8" s="40">
        <v>6.0</v>
      </c>
      <c r="C8" s="41" t="s">
        <v>73</v>
      </c>
      <c r="D8" s="42" t="s">
        <v>74</v>
      </c>
      <c r="E8" s="43" t="s">
        <v>87</v>
      </c>
      <c r="F8" s="40" t="s">
        <v>76</v>
      </c>
      <c r="G8" s="40" t="s">
        <v>88</v>
      </c>
      <c r="H8" s="44" t="s">
        <v>89</v>
      </c>
      <c r="I8" s="40" t="s">
        <v>90</v>
      </c>
      <c r="J8" s="40"/>
      <c r="K8" s="40"/>
      <c r="L8" s="40" t="s">
        <v>91</v>
      </c>
      <c r="M8" s="40" t="s">
        <v>92</v>
      </c>
      <c r="N8" s="40" t="s">
        <v>93</v>
      </c>
      <c r="O8" s="40" t="s">
        <v>94</v>
      </c>
      <c r="P8" s="40" t="s">
        <v>95</v>
      </c>
      <c r="Q8" s="45" t="s">
        <v>96</v>
      </c>
      <c r="R8" s="40"/>
      <c r="S8" s="46" t="s">
        <v>97</v>
      </c>
      <c r="T8" s="40"/>
      <c r="U8" s="47"/>
      <c r="V8" s="47"/>
      <c r="W8" s="47"/>
      <c r="X8" s="47"/>
    </row>
    <row r="9" ht="22.5" customHeight="1">
      <c r="A9" s="11"/>
      <c r="B9" s="28">
        <v>7.0</v>
      </c>
      <c r="C9" s="48"/>
      <c r="D9" s="49" t="s">
        <v>98</v>
      </c>
      <c r="E9" s="50" t="s">
        <v>99</v>
      </c>
      <c r="F9" s="7" t="s">
        <v>100</v>
      </c>
      <c r="G9" s="7" t="s">
        <v>32</v>
      </c>
      <c r="H9" s="30">
        <f>5</f>
        <v>5</v>
      </c>
      <c r="I9" s="21" t="s">
        <v>101</v>
      </c>
      <c r="J9" s="7"/>
      <c r="K9" s="7"/>
      <c r="L9" s="25" t="s">
        <v>102</v>
      </c>
      <c r="M9" s="7" t="s">
        <v>103</v>
      </c>
      <c r="N9" s="7" t="s">
        <v>104</v>
      </c>
      <c r="O9" s="25" t="s">
        <v>105</v>
      </c>
      <c r="P9" s="25"/>
      <c r="Q9" s="24" t="s">
        <v>106</v>
      </c>
      <c r="R9" s="25"/>
      <c r="S9" s="26"/>
      <c r="T9" s="25"/>
      <c r="U9" s="27"/>
      <c r="V9" s="27"/>
      <c r="W9" s="27"/>
      <c r="X9" s="27"/>
    </row>
    <row r="10" ht="22.5" customHeight="1">
      <c r="A10" s="11"/>
      <c r="B10" s="7">
        <v>8.0</v>
      </c>
      <c r="C10" s="51"/>
      <c r="D10" s="52" t="s">
        <v>74</v>
      </c>
      <c r="E10" s="12" t="s">
        <v>107</v>
      </c>
      <c r="F10" s="7" t="s">
        <v>76</v>
      </c>
      <c r="G10" s="7" t="s">
        <v>108</v>
      </c>
      <c r="H10" s="14">
        <v>7.0</v>
      </c>
      <c r="I10" s="53" t="s">
        <v>109</v>
      </c>
      <c r="J10" s="10"/>
      <c r="K10" s="10"/>
      <c r="L10" s="7" t="s">
        <v>110</v>
      </c>
      <c r="M10" s="7" t="s">
        <v>111</v>
      </c>
      <c r="N10" s="7" t="s">
        <v>112</v>
      </c>
      <c r="O10" s="7" t="s">
        <v>113</v>
      </c>
      <c r="P10" s="7"/>
      <c r="Q10" s="24" t="s">
        <v>114</v>
      </c>
      <c r="R10" s="7"/>
      <c r="S10" s="28"/>
      <c r="T10" s="7"/>
      <c r="U10" s="1"/>
      <c r="V10" s="1"/>
      <c r="W10" s="1"/>
      <c r="X10" s="1"/>
    </row>
    <row r="11" ht="22.5" customHeight="1">
      <c r="A11" s="11"/>
      <c r="B11" s="54">
        <v>9.0</v>
      </c>
      <c r="C11" s="55"/>
      <c r="D11" s="54" t="s">
        <v>43</v>
      </c>
      <c r="E11" s="56" t="s">
        <v>115</v>
      </c>
      <c r="F11" s="54" t="s">
        <v>116</v>
      </c>
      <c r="G11" s="54" t="s">
        <v>117</v>
      </c>
      <c r="H11" s="57">
        <v>5.0</v>
      </c>
      <c r="I11" s="58" t="s">
        <v>118</v>
      </c>
      <c r="J11" s="59"/>
      <c r="K11" s="59"/>
      <c r="L11" s="60" t="s">
        <v>119</v>
      </c>
      <c r="M11" s="54" t="s">
        <v>120</v>
      </c>
      <c r="N11" s="54" t="s">
        <v>121</v>
      </c>
      <c r="O11" s="60" t="s">
        <v>122</v>
      </c>
      <c r="P11" s="60"/>
      <c r="Q11" s="61" t="s">
        <v>123</v>
      </c>
      <c r="R11" s="60"/>
      <c r="S11" s="62"/>
      <c r="T11" s="60"/>
      <c r="U11" s="63"/>
      <c r="V11" s="63"/>
      <c r="W11" s="63"/>
      <c r="X11" s="63"/>
    </row>
    <row r="12" ht="22.5" customHeight="1">
      <c r="A12" s="11"/>
      <c r="B12" s="40">
        <v>10.0</v>
      </c>
      <c r="C12" s="64"/>
      <c r="D12" s="40" t="s">
        <v>74</v>
      </c>
      <c r="E12" s="43" t="s">
        <v>124</v>
      </c>
      <c r="F12" s="40" t="s">
        <v>125</v>
      </c>
      <c r="G12" s="40" t="s">
        <v>126</v>
      </c>
      <c r="H12" s="65"/>
      <c r="I12" s="66"/>
      <c r="J12" s="66"/>
      <c r="K12" s="66"/>
      <c r="L12" s="67" t="s">
        <v>127</v>
      </c>
      <c r="M12" s="40" t="s">
        <v>128</v>
      </c>
      <c r="N12" s="40" t="s">
        <v>129</v>
      </c>
      <c r="O12" s="67" t="s">
        <v>130</v>
      </c>
      <c r="P12" s="67"/>
      <c r="Q12" s="67"/>
      <c r="R12" s="68" t="s">
        <v>131</v>
      </c>
      <c r="S12" s="69"/>
      <c r="T12" s="67"/>
      <c r="U12" s="70"/>
      <c r="V12" s="70"/>
      <c r="W12" s="70"/>
      <c r="X12" s="70"/>
    </row>
    <row r="13" ht="22.5" customHeight="1">
      <c r="A13" s="11"/>
      <c r="B13" s="7">
        <v>11.0</v>
      </c>
      <c r="C13" s="8" t="s">
        <v>73</v>
      </c>
      <c r="D13" s="7" t="s">
        <v>132</v>
      </c>
      <c r="E13" s="12" t="s">
        <v>133</v>
      </c>
      <c r="F13" s="7" t="s">
        <v>100</v>
      </c>
      <c r="G13" s="7" t="s">
        <v>134</v>
      </c>
      <c r="H13" s="30"/>
      <c r="I13" s="10" t="s">
        <v>135</v>
      </c>
      <c r="J13" s="10"/>
      <c r="K13" s="10"/>
      <c r="L13" s="25" t="s">
        <v>136</v>
      </c>
      <c r="M13" s="7" t="s">
        <v>137</v>
      </c>
      <c r="N13" s="7" t="s">
        <v>138</v>
      </c>
      <c r="O13" s="25" t="s">
        <v>139</v>
      </c>
      <c r="P13" s="25"/>
      <c r="Q13" s="24" t="s">
        <v>140</v>
      </c>
      <c r="R13" s="25"/>
      <c r="S13" s="25" t="s">
        <v>141</v>
      </c>
      <c r="T13" s="25"/>
      <c r="U13" s="27"/>
      <c r="V13" s="27"/>
      <c r="W13" s="27"/>
      <c r="X13" s="27"/>
    </row>
    <row r="14" ht="22.5" customHeight="1">
      <c r="A14" s="20"/>
      <c r="B14" s="7">
        <v>12.0</v>
      </c>
      <c r="C14" s="8"/>
      <c r="D14" s="7" t="s">
        <v>142</v>
      </c>
      <c r="E14" s="12" t="s">
        <v>143</v>
      </c>
      <c r="F14" s="7" t="s">
        <v>144</v>
      </c>
      <c r="G14" s="7" t="s">
        <v>77</v>
      </c>
      <c r="H14" s="14" t="s">
        <v>145</v>
      </c>
      <c r="I14" s="53" t="s">
        <v>146</v>
      </c>
      <c r="J14" s="10"/>
      <c r="K14" s="10"/>
      <c r="L14" s="71" t="s">
        <v>147</v>
      </c>
      <c r="M14" s="7" t="s">
        <v>148</v>
      </c>
      <c r="N14" s="7" t="s">
        <v>149</v>
      </c>
      <c r="O14" s="71" t="s">
        <v>150</v>
      </c>
      <c r="P14" s="24" t="s">
        <v>151</v>
      </c>
      <c r="Q14" s="71"/>
      <c r="R14" s="71"/>
      <c r="S14" s="72"/>
      <c r="T14" s="71"/>
      <c r="U14" s="73"/>
      <c r="V14" s="73"/>
      <c r="W14" s="73"/>
      <c r="X14" s="73"/>
    </row>
    <row r="15" ht="22.5" customHeight="1">
      <c r="A15" s="31"/>
      <c r="B15" s="54">
        <v>13.0</v>
      </c>
      <c r="C15" s="55" t="s">
        <v>73</v>
      </c>
      <c r="D15" s="54" t="s">
        <v>142</v>
      </c>
      <c r="E15" s="56" t="s">
        <v>152</v>
      </c>
      <c r="F15" s="54" t="s">
        <v>125</v>
      </c>
      <c r="G15" s="54" t="s">
        <v>153</v>
      </c>
      <c r="H15" s="57" t="s">
        <v>154</v>
      </c>
      <c r="I15" s="59" t="s">
        <v>155</v>
      </c>
      <c r="J15" s="59"/>
      <c r="K15" s="59"/>
      <c r="L15" s="74" t="s">
        <v>156</v>
      </c>
      <c r="M15" s="54" t="s">
        <v>157</v>
      </c>
      <c r="N15" s="54" t="s">
        <v>158</v>
      </c>
      <c r="O15" s="74" t="s">
        <v>159</v>
      </c>
      <c r="P15" s="74"/>
      <c r="Q15" s="75" t="s">
        <v>160</v>
      </c>
      <c r="R15" s="74" t="s">
        <v>161</v>
      </c>
      <c r="S15" s="76" t="s">
        <v>162</v>
      </c>
      <c r="T15" s="74"/>
      <c r="U15" s="77"/>
      <c r="V15" s="77"/>
      <c r="W15" s="77"/>
      <c r="X15" s="77"/>
    </row>
    <row r="16" ht="22.5" customHeight="1">
      <c r="A16" s="78"/>
      <c r="B16" s="7">
        <v>16.0</v>
      </c>
      <c r="C16" s="8" t="s">
        <v>73</v>
      </c>
      <c r="D16" s="7" t="s">
        <v>74</v>
      </c>
      <c r="E16" s="12" t="s">
        <v>163</v>
      </c>
      <c r="F16" s="7" t="s">
        <v>76</v>
      </c>
      <c r="G16" s="7" t="s">
        <v>164</v>
      </c>
      <c r="H16" s="14" t="s">
        <v>165</v>
      </c>
      <c r="I16" s="10" t="s">
        <v>166</v>
      </c>
      <c r="J16" s="10" t="s">
        <v>167</v>
      </c>
      <c r="K16" s="10" t="s">
        <v>168</v>
      </c>
      <c r="L16" s="79" t="s">
        <v>169</v>
      </c>
      <c r="M16" s="80" t="s">
        <v>170</v>
      </c>
      <c r="N16" s="7" t="s">
        <v>171</v>
      </c>
      <c r="O16" s="25" t="s">
        <v>172</v>
      </c>
      <c r="P16" s="25" t="s">
        <v>173</v>
      </c>
      <c r="Q16" s="24" t="s">
        <v>174</v>
      </c>
      <c r="R16" s="25" t="s">
        <v>175</v>
      </c>
      <c r="S16" s="26" t="s">
        <v>176</v>
      </c>
      <c r="T16" s="25" t="s">
        <v>177</v>
      </c>
      <c r="U16" s="27"/>
      <c r="V16" s="27"/>
      <c r="W16" s="27"/>
      <c r="X16" s="27"/>
    </row>
    <row r="17" ht="22.5" customHeight="1">
      <c r="A17" s="78"/>
      <c r="B17" s="7">
        <v>15.0</v>
      </c>
      <c r="C17" s="81" t="s">
        <v>178</v>
      </c>
      <c r="D17" s="7"/>
      <c r="E17" s="82" t="s">
        <v>179</v>
      </c>
      <c r="F17" s="7" t="s">
        <v>125</v>
      </c>
      <c r="G17" s="7" t="s">
        <v>180</v>
      </c>
      <c r="H17" s="14" t="s">
        <v>181</v>
      </c>
      <c r="I17" s="10" t="s">
        <v>182</v>
      </c>
      <c r="J17" s="10"/>
      <c r="K17" s="10"/>
      <c r="L17" s="25" t="s">
        <v>183</v>
      </c>
      <c r="M17" s="7" t="s">
        <v>184</v>
      </c>
      <c r="N17" s="7" t="s">
        <v>185</v>
      </c>
      <c r="O17" s="25" t="s">
        <v>186</v>
      </c>
      <c r="P17" s="25"/>
      <c r="Q17" s="24" t="s">
        <v>187</v>
      </c>
      <c r="R17" s="25"/>
      <c r="S17" s="26" t="s">
        <v>188</v>
      </c>
      <c r="T17" s="25"/>
      <c r="U17" s="27"/>
      <c r="V17" s="27"/>
      <c r="W17" s="27"/>
      <c r="X17" s="27"/>
    </row>
    <row r="18" ht="22.5" customHeight="1">
      <c r="A18" s="11"/>
      <c r="B18" s="7">
        <v>16.0</v>
      </c>
      <c r="C18" s="8" t="s">
        <v>73</v>
      </c>
      <c r="D18" s="7" t="s">
        <v>29</v>
      </c>
      <c r="E18" s="12" t="s">
        <v>189</v>
      </c>
      <c r="F18" s="7" t="s">
        <v>190</v>
      </c>
      <c r="G18" s="7" t="s">
        <v>32</v>
      </c>
      <c r="H18" s="14" t="s">
        <v>191</v>
      </c>
      <c r="I18" s="10" t="s">
        <v>192</v>
      </c>
      <c r="J18" s="10" t="s">
        <v>193</v>
      </c>
      <c r="K18" s="10" t="s">
        <v>194</v>
      </c>
      <c r="L18" s="83" t="s">
        <v>195</v>
      </c>
      <c r="M18" s="7" t="s">
        <v>196</v>
      </c>
      <c r="N18" s="7" t="s">
        <v>197</v>
      </c>
      <c r="O18" s="25" t="s">
        <v>198</v>
      </c>
      <c r="P18" s="71" t="s">
        <v>199</v>
      </c>
      <c r="Q18" s="24" t="s">
        <v>200</v>
      </c>
      <c r="R18" s="71" t="s">
        <v>201</v>
      </c>
      <c r="S18" s="72" t="s">
        <v>202</v>
      </c>
      <c r="T18" s="71" t="s">
        <v>203</v>
      </c>
      <c r="U18" s="73"/>
      <c r="V18" s="73"/>
      <c r="W18" s="73"/>
      <c r="X18" s="73"/>
    </row>
    <row r="19" ht="22.5" customHeight="1">
      <c r="A19" s="78"/>
      <c r="B19" s="7">
        <v>17.0</v>
      </c>
      <c r="C19" s="8"/>
      <c r="D19" s="7"/>
      <c r="E19" s="12" t="s">
        <v>204</v>
      </c>
      <c r="F19" s="7"/>
      <c r="G19" s="7"/>
      <c r="H19" s="30"/>
      <c r="I19" s="10"/>
      <c r="J19" s="10"/>
      <c r="K19" s="10"/>
      <c r="L19" s="84" t="s">
        <v>205</v>
      </c>
      <c r="M19" s="7"/>
      <c r="N19" s="7"/>
      <c r="O19" s="25"/>
      <c r="P19" s="25"/>
      <c r="Q19" s="24" t="s">
        <v>206</v>
      </c>
      <c r="R19" s="25"/>
      <c r="S19" s="26"/>
      <c r="T19" s="25"/>
      <c r="U19" s="27"/>
      <c r="V19" s="27"/>
      <c r="W19" s="27"/>
      <c r="X19" s="27"/>
    </row>
    <row r="20" ht="22.5" customHeight="1">
      <c r="A20" s="78"/>
      <c r="B20" s="7">
        <v>18.0</v>
      </c>
      <c r="C20" s="8"/>
      <c r="D20" s="7" t="s">
        <v>207</v>
      </c>
      <c r="E20" s="12" t="s">
        <v>208</v>
      </c>
      <c r="F20" s="7" t="s">
        <v>76</v>
      </c>
      <c r="G20" s="7" t="s">
        <v>209</v>
      </c>
      <c r="H20" s="14" t="s">
        <v>210</v>
      </c>
      <c r="I20" s="10" t="s">
        <v>211</v>
      </c>
      <c r="J20" s="10" t="s">
        <v>212</v>
      </c>
      <c r="K20" s="10" t="s">
        <v>213</v>
      </c>
      <c r="L20" s="84" t="s">
        <v>214</v>
      </c>
      <c r="M20" s="7" t="s">
        <v>215</v>
      </c>
      <c r="N20" s="7" t="s">
        <v>216</v>
      </c>
      <c r="O20" s="25" t="s">
        <v>217</v>
      </c>
      <c r="P20" s="25" t="s">
        <v>218</v>
      </c>
      <c r="Q20" s="24" t="s">
        <v>219</v>
      </c>
      <c r="R20" s="25" t="s">
        <v>220</v>
      </c>
      <c r="S20" s="26"/>
      <c r="T20" s="25" t="s">
        <v>221</v>
      </c>
      <c r="U20" s="27"/>
      <c r="V20" s="27"/>
      <c r="W20" s="27"/>
      <c r="X20" s="27"/>
    </row>
    <row r="21" ht="22.5" customHeight="1">
      <c r="A21" s="85"/>
      <c r="B21" s="40">
        <v>19.0</v>
      </c>
      <c r="C21" s="64"/>
      <c r="D21" s="40" t="s">
        <v>222</v>
      </c>
      <c r="E21" s="43" t="s">
        <v>223</v>
      </c>
      <c r="F21" s="40" t="s">
        <v>76</v>
      </c>
      <c r="G21" s="40" t="s">
        <v>224</v>
      </c>
      <c r="H21" s="44">
        <v>5.0</v>
      </c>
      <c r="I21" s="66" t="s">
        <v>225</v>
      </c>
      <c r="J21" s="66" t="s">
        <v>226</v>
      </c>
      <c r="K21" s="66" t="s">
        <v>227</v>
      </c>
      <c r="L21" s="86" t="s">
        <v>228</v>
      </c>
      <c r="M21" s="40"/>
      <c r="N21" s="40" t="s">
        <v>229</v>
      </c>
      <c r="O21" s="87" t="s">
        <v>230</v>
      </c>
      <c r="P21" s="40" t="s">
        <v>231</v>
      </c>
      <c r="Q21" s="88" t="s">
        <v>232</v>
      </c>
      <c r="R21" s="40" t="s">
        <v>233</v>
      </c>
      <c r="S21" s="46"/>
      <c r="T21" s="40"/>
      <c r="U21" s="47"/>
      <c r="V21" s="47"/>
      <c r="W21" s="47"/>
      <c r="X21" s="47"/>
    </row>
    <row r="22" ht="22.5" customHeight="1">
      <c r="A22" s="78"/>
      <c r="B22" s="7">
        <v>20.0</v>
      </c>
      <c r="C22" s="8"/>
      <c r="D22" s="7" t="s">
        <v>234</v>
      </c>
      <c r="E22" s="12" t="s">
        <v>235</v>
      </c>
      <c r="F22" s="7" t="s">
        <v>76</v>
      </c>
      <c r="G22" s="7" t="s">
        <v>236</v>
      </c>
      <c r="H22" s="14" t="s">
        <v>237</v>
      </c>
      <c r="I22" s="10" t="s">
        <v>238</v>
      </c>
      <c r="J22" s="10" t="s">
        <v>239</v>
      </c>
      <c r="K22" s="10" t="s">
        <v>240</v>
      </c>
      <c r="L22" s="84" t="s">
        <v>241</v>
      </c>
      <c r="M22" s="7" t="s">
        <v>242</v>
      </c>
      <c r="N22" s="7" t="s">
        <v>243</v>
      </c>
      <c r="O22" s="25" t="s">
        <v>244</v>
      </c>
      <c r="P22" s="25" t="s">
        <v>245</v>
      </c>
      <c r="Q22" s="24" t="s">
        <v>246</v>
      </c>
      <c r="R22" s="25" t="s">
        <v>247</v>
      </c>
      <c r="S22" s="26"/>
      <c r="T22" s="25" t="s">
        <v>248</v>
      </c>
      <c r="U22" s="27"/>
      <c r="V22" s="27"/>
      <c r="W22" s="27"/>
      <c r="X22" s="27"/>
    </row>
    <row r="23" ht="22.5" customHeight="1">
      <c r="A23" s="85"/>
      <c r="B23" s="40">
        <v>21.0</v>
      </c>
      <c r="C23" s="89" t="s">
        <v>249</v>
      </c>
      <c r="D23" s="40" t="s">
        <v>250</v>
      </c>
      <c r="E23" s="43" t="s">
        <v>251</v>
      </c>
      <c r="F23" s="40" t="s">
        <v>76</v>
      </c>
      <c r="G23" s="40" t="s">
        <v>252</v>
      </c>
      <c r="H23" s="44" t="s">
        <v>253</v>
      </c>
      <c r="I23" s="66" t="s">
        <v>254</v>
      </c>
      <c r="J23" s="66" t="s">
        <v>255</v>
      </c>
      <c r="K23" s="66" t="s">
        <v>256</v>
      </c>
      <c r="L23" s="86" t="s">
        <v>257</v>
      </c>
      <c r="M23" s="40"/>
      <c r="N23" s="40" t="s">
        <v>258</v>
      </c>
      <c r="O23" s="87" t="s">
        <v>259</v>
      </c>
      <c r="P23" s="87" t="s">
        <v>260</v>
      </c>
      <c r="Q23" s="88" t="s">
        <v>261</v>
      </c>
      <c r="R23" s="87" t="s">
        <v>262</v>
      </c>
      <c r="S23" s="90" t="s">
        <v>263</v>
      </c>
      <c r="T23" s="87" t="s">
        <v>264</v>
      </c>
      <c r="U23" s="91"/>
      <c r="V23" s="91"/>
      <c r="W23" s="91"/>
      <c r="X23" s="91"/>
    </row>
    <row r="24" ht="22.5" customHeight="1">
      <c r="A24" s="78"/>
      <c r="B24" s="7">
        <v>22.0</v>
      </c>
      <c r="C24" s="8" t="s">
        <v>73</v>
      </c>
      <c r="D24" s="7" t="s">
        <v>265</v>
      </c>
      <c r="E24" s="12" t="s">
        <v>266</v>
      </c>
      <c r="F24" s="7" t="s">
        <v>100</v>
      </c>
      <c r="G24" s="7" t="s">
        <v>267</v>
      </c>
      <c r="H24" s="14" t="s">
        <v>268</v>
      </c>
      <c r="I24" s="10" t="s">
        <v>269</v>
      </c>
      <c r="J24" s="10" t="s">
        <v>270</v>
      </c>
      <c r="K24" s="10" t="s">
        <v>271</v>
      </c>
      <c r="L24" s="84" t="s">
        <v>272</v>
      </c>
      <c r="M24" s="7" t="s">
        <v>273</v>
      </c>
      <c r="N24" s="7" t="s">
        <v>274</v>
      </c>
      <c r="O24" s="25" t="s">
        <v>275</v>
      </c>
      <c r="P24" s="71" t="s">
        <v>276</v>
      </c>
      <c r="Q24" s="92" t="s">
        <v>277</v>
      </c>
      <c r="R24" s="71" t="s">
        <v>278</v>
      </c>
      <c r="S24" s="72" t="s">
        <v>279</v>
      </c>
      <c r="T24" s="71" t="s">
        <v>280</v>
      </c>
      <c r="U24" s="73"/>
      <c r="V24" s="73"/>
      <c r="W24" s="73"/>
      <c r="X24" s="73"/>
    </row>
    <row r="25" ht="22.5" customHeight="1">
      <c r="A25" s="85"/>
      <c r="B25" s="40">
        <v>23.0</v>
      </c>
      <c r="C25" s="64"/>
      <c r="D25" s="40" t="s">
        <v>281</v>
      </c>
      <c r="E25" s="43" t="s">
        <v>282</v>
      </c>
      <c r="F25" s="40" t="s">
        <v>100</v>
      </c>
      <c r="G25" s="40" t="s">
        <v>77</v>
      </c>
      <c r="H25" s="44">
        <v>5.0</v>
      </c>
      <c r="I25" s="66" t="s">
        <v>283</v>
      </c>
      <c r="J25" s="66" t="s">
        <v>284</v>
      </c>
      <c r="K25" s="66" t="s">
        <v>285</v>
      </c>
      <c r="L25" s="86" t="s">
        <v>286</v>
      </c>
      <c r="M25" s="40" t="s">
        <v>287</v>
      </c>
      <c r="N25" s="40" t="s">
        <v>288</v>
      </c>
      <c r="O25" s="67" t="s">
        <v>289</v>
      </c>
      <c r="P25" s="67" t="s">
        <v>290</v>
      </c>
      <c r="Q25" s="88" t="s">
        <v>291</v>
      </c>
      <c r="R25" s="67" t="s">
        <v>292</v>
      </c>
      <c r="S25" s="69"/>
      <c r="T25" s="67"/>
      <c r="U25" s="70"/>
      <c r="V25" s="70"/>
      <c r="W25" s="70"/>
      <c r="X25" s="70"/>
    </row>
    <row r="26" ht="22.5" customHeight="1">
      <c r="A26" s="93"/>
      <c r="B26" s="54">
        <v>24.0</v>
      </c>
      <c r="C26" s="55"/>
      <c r="D26" s="54" t="s">
        <v>293</v>
      </c>
      <c r="E26" s="56" t="s">
        <v>294</v>
      </c>
      <c r="F26" s="54" t="s">
        <v>100</v>
      </c>
      <c r="G26" s="54" t="s">
        <v>295</v>
      </c>
      <c r="H26" s="57" t="s">
        <v>296</v>
      </c>
      <c r="I26" s="59" t="s">
        <v>297</v>
      </c>
      <c r="J26" s="59" t="s">
        <v>298</v>
      </c>
      <c r="K26" s="59" t="s">
        <v>299</v>
      </c>
      <c r="L26" s="94" t="s">
        <v>300</v>
      </c>
      <c r="M26" s="54" t="s">
        <v>301</v>
      </c>
      <c r="N26" s="54" t="s">
        <v>302</v>
      </c>
      <c r="O26" s="60" t="s">
        <v>303</v>
      </c>
      <c r="P26" s="60" t="s">
        <v>304</v>
      </c>
      <c r="Q26" s="61" t="s">
        <v>305</v>
      </c>
      <c r="R26" s="60" t="s">
        <v>306</v>
      </c>
      <c r="S26" s="62"/>
      <c r="T26" s="60" t="s">
        <v>307</v>
      </c>
      <c r="U26" s="63"/>
      <c r="V26" s="63"/>
      <c r="W26" s="63"/>
      <c r="X26" s="63"/>
    </row>
    <row r="27" ht="22.5" customHeight="1">
      <c r="A27" s="85"/>
      <c r="B27" s="40">
        <v>25.0</v>
      </c>
      <c r="C27" s="64"/>
      <c r="D27" s="40" t="s">
        <v>308</v>
      </c>
      <c r="E27" s="43" t="s">
        <v>309</v>
      </c>
      <c r="F27" s="40" t="s">
        <v>76</v>
      </c>
      <c r="G27" s="40" t="s">
        <v>310</v>
      </c>
      <c r="H27" s="44" t="s">
        <v>311</v>
      </c>
      <c r="I27" s="66" t="s">
        <v>312</v>
      </c>
      <c r="J27" s="66" t="s">
        <v>313</v>
      </c>
      <c r="K27" s="66" t="s">
        <v>314</v>
      </c>
      <c r="L27" s="86" t="s">
        <v>315</v>
      </c>
      <c r="M27" s="40" t="s">
        <v>316</v>
      </c>
      <c r="N27" s="40" t="s">
        <v>317</v>
      </c>
      <c r="O27" s="87" t="s">
        <v>318</v>
      </c>
      <c r="P27" s="87" t="s">
        <v>319</v>
      </c>
      <c r="Q27" s="88" t="s">
        <v>320</v>
      </c>
      <c r="R27" s="87" t="s">
        <v>321</v>
      </c>
      <c r="S27" s="90"/>
      <c r="T27" s="87" t="s">
        <v>322</v>
      </c>
      <c r="U27" s="91"/>
      <c r="V27" s="91"/>
      <c r="W27" s="91"/>
      <c r="X27" s="91"/>
    </row>
    <row r="28" ht="22.5" customHeight="1">
      <c r="A28" s="93"/>
      <c r="B28" s="54">
        <v>26.0</v>
      </c>
      <c r="C28" s="55"/>
      <c r="D28" s="54" t="s">
        <v>308</v>
      </c>
      <c r="E28" s="56" t="s">
        <v>323</v>
      </c>
      <c r="F28" s="54" t="s">
        <v>324</v>
      </c>
      <c r="G28" s="54" t="s">
        <v>209</v>
      </c>
      <c r="H28" s="95">
        <f>5</f>
        <v>5</v>
      </c>
      <c r="I28" s="59" t="s">
        <v>325</v>
      </c>
      <c r="J28" s="59" t="s">
        <v>326</v>
      </c>
      <c r="K28" s="59" t="s">
        <v>327</v>
      </c>
      <c r="L28" s="94" t="s">
        <v>328</v>
      </c>
      <c r="M28" s="54"/>
      <c r="N28" s="54" t="s">
        <v>329</v>
      </c>
      <c r="O28" s="60" t="s">
        <v>330</v>
      </c>
      <c r="P28" s="74" t="s">
        <v>331</v>
      </c>
      <c r="Q28" s="61" t="s">
        <v>332</v>
      </c>
      <c r="R28" s="74" t="s">
        <v>333</v>
      </c>
      <c r="S28" s="76"/>
      <c r="T28" s="74"/>
      <c r="U28" s="77"/>
      <c r="V28" s="77"/>
      <c r="W28" s="77"/>
      <c r="X28" s="77"/>
    </row>
    <row r="29" ht="22.5" customHeight="1">
      <c r="A29" s="78"/>
      <c r="B29" s="7">
        <v>27.0</v>
      </c>
      <c r="C29" s="8"/>
      <c r="D29" s="7" t="s">
        <v>334</v>
      </c>
      <c r="E29" s="12" t="s">
        <v>335</v>
      </c>
      <c r="F29" s="7" t="s">
        <v>336</v>
      </c>
      <c r="G29" s="7" t="s">
        <v>337</v>
      </c>
      <c r="H29" s="14" t="s">
        <v>338</v>
      </c>
      <c r="I29" s="10" t="s">
        <v>269</v>
      </c>
      <c r="J29" s="10" t="s">
        <v>339</v>
      </c>
      <c r="K29" s="10" t="s">
        <v>340</v>
      </c>
      <c r="L29" s="84" t="s">
        <v>341</v>
      </c>
      <c r="M29" s="7" t="s">
        <v>342</v>
      </c>
      <c r="N29" s="7" t="s">
        <v>343</v>
      </c>
      <c r="O29" s="25" t="s">
        <v>344</v>
      </c>
      <c r="P29" s="7" t="s">
        <v>345</v>
      </c>
      <c r="Q29" s="96" t="s">
        <v>346</v>
      </c>
      <c r="R29" s="7" t="s">
        <v>347</v>
      </c>
      <c r="S29" s="28"/>
      <c r="T29" s="7" t="s">
        <v>348</v>
      </c>
      <c r="U29" s="1"/>
      <c r="V29" s="1"/>
      <c r="W29" s="1"/>
      <c r="X29" s="1"/>
    </row>
    <row r="30" ht="22.5" customHeight="1">
      <c r="A30" s="93"/>
      <c r="B30" s="54">
        <v>28.0</v>
      </c>
      <c r="C30" s="55"/>
      <c r="D30" s="54" t="s">
        <v>308</v>
      </c>
      <c r="E30" s="56" t="s">
        <v>349</v>
      </c>
      <c r="F30" s="54" t="s">
        <v>76</v>
      </c>
      <c r="G30" s="54" t="s">
        <v>209</v>
      </c>
      <c r="H30" s="57" t="s">
        <v>350</v>
      </c>
      <c r="I30" s="59" t="s">
        <v>351</v>
      </c>
      <c r="J30" s="59" t="s">
        <v>352</v>
      </c>
      <c r="K30" s="59" t="s">
        <v>353</v>
      </c>
      <c r="L30" s="94" t="s">
        <v>354</v>
      </c>
      <c r="M30" s="54"/>
      <c r="N30" s="54" t="s">
        <v>355</v>
      </c>
      <c r="O30" s="60" t="s">
        <v>356</v>
      </c>
      <c r="P30" s="60" t="s">
        <v>357</v>
      </c>
      <c r="Q30" s="97" t="s">
        <v>346</v>
      </c>
      <c r="R30" s="60" t="s">
        <v>358</v>
      </c>
      <c r="S30" s="62" t="s">
        <v>359</v>
      </c>
      <c r="T30" s="60" t="s">
        <v>360</v>
      </c>
      <c r="U30" s="63"/>
      <c r="V30" s="63"/>
      <c r="W30" s="63"/>
      <c r="X30" s="63"/>
    </row>
    <row r="31" ht="22.5" customHeight="1">
      <c r="A31" s="31"/>
      <c r="B31" s="40">
        <v>29.0</v>
      </c>
      <c r="C31" s="89" t="s">
        <v>361</v>
      </c>
      <c r="D31" s="40" t="s">
        <v>362</v>
      </c>
      <c r="E31" s="43" t="s">
        <v>363</v>
      </c>
      <c r="F31" s="40" t="s">
        <v>100</v>
      </c>
      <c r="G31" s="40" t="s">
        <v>32</v>
      </c>
      <c r="H31" s="44" t="s">
        <v>364</v>
      </c>
      <c r="I31" s="66" t="s">
        <v>365</v>
      </c>
      <c r="J31" s="66" t="s">
        <v>366</v>
      </c>
      <c r="K31" s="66" t="s">
        <v>367</v>
      </c>
      <c r="L31" s="86" t="s">
        <v>368</v>
      </c>
      <c r="M31" s="40" t="s">
        <v>369</v>
      </c>
      <c r="N31" s="40" t="s">
        <v>370</v>
      </c>
      <c r="O31" s="87" t="s">
        <v>371</v>
      </c>
      <c r="P31" s="40" t="s">
        <v>372</v>
      </c>
      <c r="Q31" s="45" t="s">
        <v>373</v>
      </c>
      <c r="R31" s="40" t="s">
        <v>374</v>
      </c>
      <c r="S31" s="46" t="s">
        <v>375</v>
      </c>
      <c r="T31" s="40" t="s">
        <v>376</v>
      </c>
      <c r="U31" s="47"/>
      <c r="V31" s="47"/>
      <c r="W31" s="47"/>
      <c r="X31" s="47"/>
    </row>
    <row r="32" ht="22.5" customHeight="1">
      <c r="A32" s="11"/>
      <c r="B32" s="54">
        <v>30.0</v>
      </c>
      <c r="C32" s="55"/>
      <c r="D32" s="54" t="s">
        <v>308</v>
      </c>
      <c r="E32" s="56" t="s">
        <v>377</v>
      </c>
      <c r="F32" s="54" t="s">
        <v>76</v>
      </c>
      <c r="G32" s="54" t="s">
        <v>378</v>
      </c>
      <c r="H32" s="57" t="s">
        <v>379</v>
      </c>
      <c r="I32" s="59" t="s">
        <v>380</v>
      </c>
      <c r="J32" s="59" t="s">
        <v>381</v>
      </c>
      <c r="K32" s="59" t="s">
        <v>382</v>
      </c>
      <c r="L32" s="94" t="s">
        <v>383</v>
      </c>
      <c r="M32" s="54" t="s">
        <v>384</v>
      </c>
      <c r="N32" s="54" t="s">
        <v>385</v>
      </c>
      <c r="O32" s="60" t="s">
        <v>386</v>
      </c>
      <c r="P32" s="74" t="s">
        <v>387</v>
      </c>
      <c r="Q32" s="61" t="s">
        <v>388</v>
      </c>
      <c r="R32" s="74" t="s">
        <v>389</v>
      </c>
      <c r="S32" s="76"/>
      <c r="T32" s="74" t="s">
        <v>390</v>
      </c>
      <c r="U32" s="77"/>
      <c r="V32" s="77"/>
      <c r="W32" s="77"/>
      <c r="X32" s="77"/>
    </row>
    <row r="33" ht="22.5" customHeight="1">
      <c r="A33" s="78"/>
      <c r="B33" s="7">
        <v>31.0</v>
      </c>
      <c r="C33" s="8"/>
      <c r="D33" s="7" t="s">
        <v>142</v>
      </c>
      <c r="E33" s="12" t="s">
        <v>391</v>
      </c>
      <c r="F33" s="7" t="s">
        <v>100</v>
      </c>
      <c r="G33" s="7" t="s">
        <v>77</v>
      </c>
      <c r="H33" s="14" t="s">
        <v>392</v>
      </c>
      <c r="I33" s="10" t="s">
        <v>269</v>
      </c>
      <c r="J33" s="10" t="s">
        <v>393</v>
      </c>
      <c r="K33" s="10" t="s">
        <v>394</v>
      </c>
      <c r="L33" s="84" t="s">
        <v>395</v>
      </c>
      <c r="M33" s="7" t="s">
        <v>396</v>
      </c>
      <c r="N33" s="7" t="s">
        <v>397</v>
      </c>
      <c r="O33" s="25" t="s">
        <v>398</v>
      </c>
      <c r="P33" s="25" t="s">
        <v>399</v>
      </c>
      <c r="Q33" s="24" t="s">
        <v>400</v>
      </c>
      <c r="R33" s="25" t="s">
        <v>401</v>
      </c>
      <c r="S33" s="26" t="s">
        <v>402</v>
      </c>
      <c r="T33" s="25" t="s">
        <v>403</v>
      </c>
      <c r="U33" s="27"/>
      <c r="V33" s="27"/>
      <c r="W33" s="27"/>
      <c r="X33" s="27"/>
    </row>
    <row r="34" ht="22.5" customHeight="1">
      <c r="A34" s="78"/>
      <c r="B34" s="7">
        <v>32.0</v>
      </c>
      <c r="C34" s="8"/>
      <c r="D34" s="7" t="s">
        <v>404</v>
      </c>
      <c r="E34" s="12" t="s">
        <v>405</v>
      </c>
      <c r="F34" s="7" t="s">
        <v>100</v>
      </c>
      <c r="G34" s="7" t="s">
        <v>32</v>
      </c>
      <c r="H34" s="14" t="s">
        <v>406</v>
      </c>
      <c r="I34" s="10" t="s">
        <v>407</v>
      </c>
      <c r="J34" s="10" t="s">
        <v>408</v>
      </c>
      <c r="K34" s="10" t="s">
        <v>409</v>
      </c>
      <c r="L34" s="84" t="s">
        <v>410</v>
      </c>
      <c r="M34" s="7" t="s">
        <v>411</v>
      </c>
      <c r="N34" s="7" t="s">
        <v>412</v>
      </c>
      <c r="O34" s="25" t="s">
        <v>413</v>
      </c>
      <c r="P34" s="25" t="s">
        <v>414</v>
      </c>
      <c r="Q34" s="24" t="s">
        <v>415</v>
      </c>
      <c r="R34" s="25" t="s">
        <v>416</v>
      </c>
      <c r="S34" s="26"/>
      <c r="T34" s="25" t="s">
        <v>417</v>
      </c>
      <c r="U34" s="27"/>
      <c r="V34" s="27"/>
      <c r="W34" s="27"/>
      <c r="X34" s="27"/>
    </row>
    <row r="35" ht="22.5" customHeight="1">
      <c r="A35" s="78"/>
      <c r="B35" s="7">
        <v>33.0</v>
      </c>
      <c r="C35" s="8"/>
      <c r="D35" s="7" t="s">
        <v>142</v>
      </c>
      <c r="E35" s="12" t="s">
        <v>418</v>
      </c>
      <c r="F35" s="7" t="s">
        <v>76</v>
      </c>
      <c r="G35" s="7" t="s">
        <v>32</v>
      </c>
      <c r="H35" s="14" t="s">
        <v>419</v>
      </c>
      <c r="I35" s="10" t="s">
        <v>269</v>
      </c>
      <c r="J35" s="10" t="s">
        <v>420</v>
      </c>
      <c r="K35" s="10" t="s">
        <v>421</v>
      </c>
      <c r="L35" s="84" t="s">
        <v>422</v>
      </c>
      <c r="M35" s="7" t="s">
        <v>423</v>
      </c>
      <c r="N35" s="7" t="s">
        <v>424</v>
      </c>
      <c r="O35" s="25" t="s">
        <v>425</v>
      </c>
      <c r="P35" s="7" t="s">
        <v>426</v>
      </c>
      <c r="Q35" s="24" t="s">
        <v>427</v>
      </c>
      <c r="R35" s="7" t="s">
        <v>428</v>
      </c>
      <c r="S35" s="28"/>
      <c r="T35" s="7" t="s">
        <v>429</v>
      </c>
      <c r="U35" s="1"/>
      <c r="V35" s="1"/>
      <c r="W35" s="1"/>
      <c r="X35" s="1"/>
    </row>
    <row r="36" ht="22.5" customHeight="1">
      <c r="A36" s="78"/>
      <c r="B36" s="7">
        <v>34.0</v>
      </c>
      <c r="C36" s="8"/>
      <c r="D36" s="7" t="s">
        <v>430</v>
      </c>
      <c r="E36" s="12" t="s">
        <v>431</v>
      </c>
      <c r="F36" s="7" t="s">
        <v>76</v>
      </c>
      <c r="G36" s="7" t="s">
        <v>77</v>
      </c>
      <c r="H36" s="14" t="s">
        <v>432</v>
      </c>
      <c r="I36" s="10" t="s">
        <v>407</v>
      </c>
      <c r="J36" s="10" t="s">
        <v>433</v>
      </c>
      <c r="K36" s="10" t="s">
        <v>434</v>
      </c>
      <c r="L36" s="84" t="s">
        <v>435</v>
      </c>
      <c r="M36" s="7" t="s">
        <v>436</v>
      </c>
      <c r="N36" s="7" t="s">
        <v>437</v>
      </c>
      <c r="O36" s="25" t="s">
        <v>438</v>
      </c>
      <c r="P36" s="25" t="s">
        <v>439</v>
      </c>
      <c r="Q36" s="24" t="s">
        <v>440</v>
      </c>
      <c r="R36" s="25" t="s">
        <v>441</v>
      </c>
      <c r="S36" s="26"/>
      <c r="T36" s="25" t="s">
        <v>442</v>
      </c>
      <c r="U36" s="27"/>
      <c r="V36" s="27"/>
      <c r="W36" s="27"/>
      <c r="X36" s="27"/>
    </row>
    <row r="37" ht="22.5" customHeight="1">
      <c r="A37" s="78"/>
      <c r="B37" s="7">
        <v>35.0</v>
      </c>
      <c r="C37" s="8"/>
      <c r="D37" s="7" t="s">
        <v>443</v>
      </c>
      <c r="E37" s="12" t="s">
        <v>444</v>
      </c>
      <c r="F37" s="7" t="s">
        <v>100</v>
      </c>
      <c r="G37" s="7" t="s">
        <v>77</v>
      </c>
      <c r="H37" s="14" t="s">
        <v>445</v>
      </c>
      <c r="I37" s="10" t="s">
        <v>446</v>
      </c>
      <c r="J37" s="10" t="s">
        <v>447</v>
      </c>
      <c r="K37" s="10" t="s">
        <v>448</v>
      </c>
      <c r="L37" s="84" t="s">
        <v>449</v>
      </c>
      <c r="M37" s="7" t="s">
        <v>450</v>
      </c>
      <c r="N37" s="7" t="s">
        <v>451</v>
      </c>
      <c r="O37" s="25" t="s">
        <v>452</v>
      </c>
      <c r="P37" s="7" t="s">
        <v>453</v>
      </c>
      <c r="Q37" s="24" t="s">
        <v>454</v>
      </c>
      <c r="R37" s="7" t="s">
        <v>455</v>
      </c>
      <c r="S37" s="28"/>
      <c r="T37" s="7" t="s">
        <v>456</v>
      </c>
      <c r="U37" s="1"/>
      <c r="V37" s="1"/>
      <c r="W37" s="1"/>
      <c r="X37" s="1"/>
    </row>
    <row r="38" ht="22.5" customHeight="1">
      <c r="A38" s="78"/>
      <c r="B38" s="7">
        <v>36.0</v>
      </c>
      <c r="C38" s="8" t="s">
        <v>73</v>
      </c>
      <c r="D38" s="7" t="s">
        <v>457</v>
      </c>
      <c r="E38" s="12" t="s">
        <v>458</v>
      </c>
      <c r="F38" s="7" t="s">
        <v>100</v>
      </c>
      <c r="G38" s="7" t="s">
        <v>32</v>
      </c>
      <c r="H38" s="14" t="s">
        <v>459</v>
      </c>
      <c r="I38" s="10" t="s">
        <v>446</v>
      </c>
      <c r="J38" s="10" t="s">
        <v>460</v>
      </c>
      <c r="K38" s="10" t="s">
        <v>461</v>
      </c>
      <c r="L38" s="84" t="s">
        <v>462</v>
      </c>
      <c r="M38" s="7" t="s">
        <v>463</v>
      </c>
      <c r="N38" s="7" t="s">
        <v>464</v>
      </c>
      <c r="O38" s="25" t="s">
        <v>465</v>
      </c>
      <c r="P38" s="25" t="s">
        <v>466</v>
      </c>
      <c r="Q38" s="24" t="s">
        <v>467</v>
      </c>
      <c r="R38" s="25" t="s">
        <v>468</v>
      </c>
      <c r="S38" s="26" t="s">
        <v>469</v>
      </c>
      <c r="T38" s="25" t="s">
        <v>470</v>
      </c>
      <c r="U38" s="27"/>
      <c r="V38" s="27"/>
      <c r="W38" s="27"/>
      <c r="X38" s="27"/>
    </row>
    <row r="39" ht="22.5" customHeight="1">
      <c r="A39" s="78"/>
      <c r="B39" s="7">
        <v>37.0</v>
      </c>
      <c r="C39" s="8"/>
      <c r="D39" s="7" t="s">
        <v>142</v>
      </c>
      <c r="E39" s="12" t="s">
        <v>471</v>
      </c>
      <c r="F39" s="7" t="s">
        <v>472</v>
      </c>
      <c r="G39" s="7" t="s">
        <v>32</v>
      </c>
      <c r="H39" s="14" t="s">
        <v>473</v>
      </c>
      <c r="I39" s="10" t="s">
        <v>474</v>
      </c>
      <c r="J39" s="10" t="s">
        <v>475</v>
      </c>
      <c r="K39" s="10" t="s">
        <v>476</v>
      </c>
      <c r="L39" s="84" t="s">
        <v>477</v>
      </c>
      <c r="M39" s="7" t="s">
        <v>478</v>
      </c>
      <c r="N39" s="7" t="s">
        <v>479</v>
      </c>
      <c r="O39" s="25" t="s">
        <v>480</v>
      </c>
      <c r="P39" s="7" t="s">
        <v>481</v>
      </c>
      <c r="Q39" s="24" t="s">
        <v>482</v>
      </c>
      <c r="R39" s="7" t="s">
        <v>483</v>
      </c>
      <c r="S39" s="28"/>
      <c r="T39" s="7" t="s">
        <v>484</v>
      </c>
      <c r="U39" s="1"/>
      <c r="V39" s="1"/>
      <c r="W39" s="1"/>
      <c r="X39" s="1"/>
    </row>
    <row r="40" ht="22.5" customHeight="1">
      <c r="A40" s="93"/>
      <c r="B40" s="54">
        <v>38.0</v>
      </c>
      <c r="C40" s="55"/>
      <c r="D40" s="54" t="s">
        <v>142</v>
      </c>
      <c r="E40" s="56" t="s">
        <v>485</v>
      </c>
      <c r="F40" s="54" t="s">
        <v>76</v>
      </c>
      <c r="G40" s="54" t="s">
        <v>486</v>
      </c>
      <c r="H40" s="57" t="s">
        <v>487</v>
      </c>
      <c r="I40" s="59" t="s">
        <v>488</v>
      </c>
      <c r="J40" s="59" t="s">
        <v>489</v>
      </c>
      <c r="K40" s="59" t="s">
        <v>490</v>
      </c>
      <c r="L40" s="94" t="s">
        <v>491</v>
      </c>
      <c r="M40" s="54" t="s">
        <v>492</v>
      </c>
      <c r="N40" s="54" t="s">
        <v>493</v>
      </c>
      <c r="O40" s="60" t="s">
        <v>494</v>
      </c>
      <c r="P40" s="74" t="s">
        <v>495</v>
      </c>
      <c r="Q40" s="61" t="s">
        <v>496</v>
      </c>
      <c r="R40" s="74" t="s">
        <v>497</v>
      </c>
      <c r="S40" s="76"/>
      <c r="T40" s="74" t="s">
        <v>498</v>
      </c>
      <c r="U40" s="77"/>
      <c r="V40" s="77"/>
      <c r="W40" s="77"/>
      <c r="X40" s="77"/>
    </row>
    <row r="41" ht="22.5" customHeight="1">
      <c r="A41" s="78"/>
      <c r="B41" s="7">
        <v>39.0</v>
      </c>
      <c r="C41" s="8"/>
      <c r="D41" s="7" t="s">
        <v>499</v>
      </c>
      <c r="E41" s="12" t="s">
        <v>500</v>
      </c>
      <c r="F41" s="7" t="s">
        <v>100</v>
      </c>
      <c r="G41" s="7" t="s">
        <v>77</v>
      </c>
      <c r="H41" s="14" t="s">
        <v>501</v>
      </c>
      <c r="I41" s="10" t="s">
        <v>502</v>
      </c>
      <c r="J41" s="10" t="s">
        <v>503</v>
      </c>
      <c r="K41" s="10" t="s">
        <v>504</v>
      </c>
      <c r="L41" s="84" t="s">
        <v>505</v>
      </c>
      <c r="M41" s="7" t="s">
        <v>506</v>
      </c>
      <c r="N41" s="7" t="s">
        <v>507</v>
      </c>
      <c r="O41" s="25" t="s">
        <v>508</v>
      </c>
      <c r="P41" s="25" t="s">
        <v>509</v>
      </c>
      <c r="Q41" s="24" t="s">
        <v>510</v>
      </c>
      <c r="R41" s="25" t="s">
        <v>511</v>
      </c>
      <c r="S41" s="26"/>
      <c r="T41" s="25" t="s">
        <v>512</v>
      </c>
      <c r="U41" s="27"/>
      <c r="V41" s="27"/>
      <c r="W41" s="27"/>
      <c r="X41" s="27"/>
    </row>
    <row r="42" ht="22.5" customHeight="1">
      <c r="A42" s="78"/>
      <c r="B42" s="7">
        <v>40.0</v>
      </c>
      <c r="C42" s="8" t="s">
        <v>73</v>
      </c>
      <c r="D42" s="7" t="s">
        <v>513</v>
      </c>
      <c r="E42" s="12" t="s">
        <v>514</v>
      </c>
      <c r="F42" s="7" t="s">
        <v>76</v>
      </c>
      <c r="G42" s="7" t="s">
        <v>236</v>
      </c>
      <c r="H42" s="14" t="s">
        <v>515</v>
      </c>
      <c r="I42" s="10" t="s">
        <v>516</v>
      </c>
      <c r="J42" s="10" t="s">
        <v>517</v>
      </c>
      <c r="K42" s="10" t="s">
        <v>518</v>
      </c>
      <c r="L42" s="84" t="s">
        <v>519</v>
      </c>
      <c r="M42" s="7" t="s">
        <v>520</v>
      </c>
      <c r="N42" s="7" t="s">
        <v>521</v>
      </c>
      <c r="O42" s="25" t="s">
        <v>522</v>
      </c>
      <c r="P42" s="25" t="s">
        <v>523</v>
      </c>
      <c r="Q42" s="24" t="s">
        <v>524</v>
      </c>
      <c r="R42" s="25" t="s">
        <v>525</v>
      </c>
      <c r="S42" s="98" t="s">
        <v>526</v>
      </c>
      <c r="T42" s="25" t="s">
        <v>527</v>
      </c>
      <c r="U42" s="27"/>
      <c r="V42" s="27"/>
      <c r="W42" s="27"/>
      <c r="X42" s="27"/>
    </row>
    <row r="43" ht="22.5" customHeight="1">
      <c r="A43" s="85"/>
      <c r="B43" s="40">
        <v>41.0</v>
      </c>
      <c r="C43" s="64" t="s">
        <v>528</v>
      </c>
      <c r="D43" s="40" t="s">
        <v>529</v>
      </c>
      <c r="E43" s="43" t="s">
        <v>530</v>
      </c>
      <c r="F43" s="40" t="s">
        <v>76</v>
      </c>
      <c r="G43" s="40" t="s">
        <v>252</v>
      </c>
      <c r="H43" s="44" t="s">
        <v>531</v>
      </c>
      <c r="I43" s="66" t="s">
        <v>532</v>
      </c>
      <c r="J43" s="66" t="s">
        <v>533</v>
      </c>
      <c r="K43" s="66" t="s">
        <v>534</v>
      </c>
      <c r="L43" s="86" t="s">
        <v>535</v>
      </c>
      <c r="M43" s="40" t="s">
        <v>536</v>
      </c>
      <c r="N43" s="40" t="s">
        <v>537</v>
      </c>
      <c r="O43" s="87" t="s">
        <v>538</v>
      </c>
      <c r="P43" s="40" t="s">
        <v>539</v>
      </c>
      <c r="Q43" s="88" t="s">
        <v>540</v>
      </c>
      <c r="R43" s="40" t="s">
        <v>541</v>
      </c>
      <c r="S43" s="46" t="s">
        <v>542</v>
      </c>
      <c r="T43" s="40" t="s">
        <v>543</v>
      </c>
      <c r="U43" s="47"/>
      <c r="V43" s="47"/>
      <c r="W43" s="47"/>
      <c r="X43" s="47"/>
    </row>
    <row r="44" ht="22.5" customHeight="1">
      <c r="A44" s="78"/>
      <c r="B44" s="7">
        <v>42.0</v>
      </c>
      <c r="C44" s="8" t="s">
        <v>73</v>
      </c>
      <c r="D44" s="7" t="s">
        <v>544</v>
      </c>
      <c r="E44" s="12" t="s">
        <v>545</v>
      </c>
      <c r="F44" s="7" t="s">
        <v>76</v>
      </c>
      <c r="G44" s="7" t="s">
        <v>209</v>
      </c>
      <c r="H44" s="14" t="s">
        <v>546</v>
      </c>
      <c r="I44" s="10" t="s">
        <v>547</v>
      </c>
      <c r="J44" s="10" t="s">
        <v>548</v>
      </c>
      <c r="K44" s="10" t="s">
        <v>549</v>
      </c>
      <c r="L44" s="84" t="s">
        <v>550</v>
      </c>
      <c r="M44" s="7" t="s">
        <v>551</v>
      </c>
      <c r="N44" s="7" t="s">
        <v>552</v>
      </c>
      <c r="O44" s="25" t="s">
        <v>553</v>
      </c>
      <c r="P44" s="25" t="s">
        <v>554</v>
      </c>
      <c r="Q44" s="24" t="s">
        <v>555</v>
      </c>
      <c r="R44" s="25" t="s">
        <v>556</v>
      </c>
      <c r="S44" s="26" t="s">
        <v>557</v>
      </c>
      <c r="T44" s="25" t="s">
        <v>558</v>
      </c>
      <c r="U44" s="27"/>
      <c r="V44" s="27"/>
      <c r="W44" s="27"/>
      <c r="X44" s="27"/>
    </row>
    <row r="45" ht="22.5" customHeight="1">
      <c r="A45" s="78"/>
      <c r="B45" s="7">
        <v>43.0</v>
      </c>
      <c r="C45" s="8"/>
      <c r="D45" s="7" t="s">
        <v>559</v>
      </c>
      <c r="E45" s="12" t="s">
        <v>560</v>
      </c>
      <c r="F45" s="7" t="s">
        <v>561</v>
      </c>
      <c r="G45" s="78" t="s">
        <v>32</v>
      </c>
      <c r="H45" s="9" t="s">
        <v>562</v>
      </c>
      <c r="I45" s="99" t="s">
        <v>563</v>
      </c>
      <c r="J45" s="10" t="s">
        <v>564</v>
      </c>
      <c r="K45" s="100" t="s">
        <v>565</v>
      </c>
      <c r="L45" s="7" t="s">
        <v>566</v>
      </c>
      <c r="M45" s="78" t="s">
        <v>567</v>
      </c>
      <c r="N45" s="7" t="s">
        <v>568</v>
      </c>
      <c r="O45" s="78" t="s">
        <v>569</v>
      </c>
      <c r="P45" s="7" t="s">
        <v>570</v>
      </c>
      <c r="Q45" s="101" t="s">
        <v>571</v>
      </c>
      <c r="R45" s="7" t="s">
        <v>572</v>
      </c>
      <c r="T45" s="80" t="s">
        <v>573</v>
      </c>
      <c r="U45" s="80"/>
      <c r="V45" s="80"/>
      <c r="W45" s="80"/>
      <c r="X45" s="80"/>
    </row>
    <row r="46" ht="22.5" customHeight="1">
      <c r="A46" s="78"/>
      <c r="B46" s="7">
        <v>44.0</v>
      </c>
      <c r="C46" s="8" t="s">
        <v>178</v>
      </c>
      <c r="D46" s="7" t="s">
        <v>74</v>
      </c>
      <c r="E46" s="12" t="s">
        <v>574</v>
      </c>
      <c r="F46" s="7" t="s">
        <v>561</v>
      </c>
      <c r="G46" s="7" t="s">
        <v>32</v>
      </c>
      <c r="H46" s="30" t="s">
        <v>575</v>
      </c>
      <c r="I46" s="10" t="s">
        <v>576</v>
      </c>
      <c r="J46" s="10" t="s">
        <v>577</v>
      </c>
      <c r="K46" s="10" t="s">
        <v>578</v>
      </c>
      <c r="L46" s="102" t="s">
        <v>579</v>
      </c>
      <c r="M46" s="7" t="s">
        <v>580</v>
      </c>
      <c r="N46" s="7" t="s">
        <v>581</v>
      </c>
      <c r="O46" s="25" t="s">
        <v>582</v>
      </c>
      <c r="P46" s="25" t="s">
        <v>583</v>
      </c>
      <c r="Q46" s="24" t="s">
        <v>584</v>
      </c>
      <c r="R46" s="25" t="s">
        <v>585</v>
      </c>
      <c r="S46" s="26"/>
      <c r="T46" s="25" t="s">
        <v>586</v>
      </c>
      <c r="U46" s="27"/>
      <c r="V46" s="27"/>
      <c r="W46" s="27"/>
      <c r="X46" s="27"/>
    </row>
    <row r="47" ht="22.5" customHeight="1">
      <c r="A47" s="103" t="s">
        <v>587</v>
      </c>
      <c r="B47" s="7">
        <v>45.0</v>
      </c>
      <c r="C47" s="81" t="s">
        <v>178</v>
      </c>
      <c r="D47" s="7" t="s">
        <v>74</v>
      </c>
      <c r="E47" s="12" t="s">
        <v>588</v>
      </c>
      <c r="F47" s="7" t="s">
        <v>100</v>
      </c>
      <c r="G47" s="7" t="s">
        <v>32</v>
      </c>
      <c r="H47" s="14" t="s">
        <v>575</v>
      </c>
      <c r="I47" s="10" t="s">
        <v>589</v>
      </c>
      <c r="J47" s="10" t="s">
        <v>590</v>
      </c>
      <c r="K47" s="10" t="s">
        <v>591</v>
      </c>
      <c r="L47" s="84" t="s">
        <v>592</v>
      </c>
      <c r="M47" s="7" t="s">
        <v>593</v>
      </c>
      <c r="N47" s="7" t="s">
        <v>594</v>
      </c>
      <c r="O47" s="25" t="s">
        <v>595</v>
      </c>
      <c r="P47" s="25" t="s">
        <v>596</v>
      </c>
      <c r="Q47" s="24" t="s">
        <v>597</v>
      </c>
      <c r="R47" s="25" t="s">
        <v>598</v>
      </c>
      <c r="S47" s="26"/>
      <c r="T47" s="25" t="s">
        <v>599</v>
      </c>
      <c r="U47" s="27"/>
      <c r="V47" s="27"/>
      <c r="W47" s="27"/>
      <c r="X47" s="27"/>
    </row>
    <row r="48" ht="22.5" customHeight="1">
      <c r="A48" s="103" t="s">
        <v>587</v>
      </c>
      <c r="B48" s="28">
        <v>46.0</v>
      </c>
      <c r="C48" s="104" t="s">
        <v>178</v>
      </c>
      <c r="D48" s="105" t="s">
        <v>308</v>
      </c>
      <c r="E48" s="12" t="s">
        <v>600</v>
      </c>
      <c r="F48" s="7" t="s">
        <v>601</v>
      </c>
      <c r="G48" s="7" t="s">
        <v>602</v>
      </c>
      <c r="H48" s="14" t="s">
        <v>603</v>
      </c>
      <c r="I48" s="10" t="s">
        <v>604</v>
      </c>
      <c r="J48" s="10" t="s">
        <v>605</v>
      </c>
      <c r="K48" s="10" t="s">
        <v>606</v>
      </c>
      <c r="L48" s="84" t="s">
        <v>607</v>
      </c>
      <c r="M48" s="7" t="s">
        <v>608</v>
      </c>
      <c r="N48" s="7" t="s">
        <v>609</v>
      </c>
      <c r="O48" s="25" t="s">
        <v>610</v>
      </c>
      <c r="P48" s="71" t="s">
        <v>611</v>
      </c>
      <c r="Q48" s="24" t="s">
        <v>612</v>
      </c>
      <c r="R48" s="71" t="s">
        <v>613</v>
      </c>
      <c r="S48" s="72"/>
      <c r="T48" s="71" t="s">
        <v>614</v>
      </c>
      <c r="U48" s="73"/>
      <c r="V48" s="73"/>
      <c r="W48" s="73"/>
      <c r="X48" s="73"/>
    </row>
    <row r="49" ht="22.5" customHeight="1">
      <c r="A49" s="78"/>
      <c r="B49" s="7">
        <v>47.0</v>
      </c>
      <c r="C49" s="51"/>
      <c r="D49" s="7" t="s">
        <v>615</v>
      </c>
      <c r="E49" s="12" t="s">
        <v>616</v>
      </c>
      <c r="F49" s="7" t="s">
        <v>100</v>
      </c>
      <c r="G49" s="7" t="s">
        <v>77</v>
      </c>
      <c r="H49" s="14" t="s">
        <v>617</v>
      </c>
      <c r="I49" s="10" t="s">
        <v>618</v>
      </c>
      <c r="J49" s="10" t="s">
        <v>619</v>
      </c>
      <c r="K49" s="10" t="s">
        <v>620</v>
      </c>
      <c r="L49" s="84" t="s">
        <v>621</v>
      </c>
      <c r="M49" s="7" t="s">
        <v>622</v>
      </c>
      <c r="N49" s="7" t="s">
        <v>623</v>
      </c>
      <c r="O49" s="25" t="s">
        <v>624</v>
      </c>
      <c r="P49" s="25" t="s">
        <v>625</v>
      </c>
      <c r="Q49" s="24" t="s">
        <v>626</v>
      </c>
      <c r="R49" s="25" t="s">
        <v>627</v>
      </c>
      <c r="S49" s="26"/>
      <c r="T49" s="25" t="s">
        <v>628</v>
      </c>
      <c r="U49" s="27"/>
      <c r="V49" s="27"/>
      <c r="W49" s="27"/>
      <c r="X49" s="27"/>
    </row>
    <row r="50" ht="22.5" customHeight="1">
      <c r="A50" s="78"/>
      <c r="B50" s="7">
        <v>48.0</v>
      </c>
      <c r="C50" s="8"/>
      <c r="D50" s="7" t="s">
        <v>629</v>
      </c>
      <c r="E50" s="12" t="s">
        <v>630</v>
      </c>
      <c r="F50" s="7" t="s">
        <v>76</v>
      </c>
      <c r="G50" s="7" t="s">
        <v>378</v>
      </c>
      <c r="H50" s="14" t="s">
        <v>631</v>
      </c>
      <c r="I50" s="10" t="s">
        <v>632</v>
      </c>
      <c r="J50" s="10" t="s">
        <v>633</v>
      </c>
      <c r="K50" s="10" t="s">
        <v>634</v>
      </c>
      <c r="L50" s="84" t="s">
        <v>635</v>
      </c>
      <c r="M50" s="7" t="s">
        <v>636</v>
      </c>
      <c r="N50" s="7" t="s">
        <v>637</v>
      </c>
      <c r="O50" s="25" t="s">
        <v>638</v>
      </c>
      <c r="P50" s="25" t="s">
        <v>639</v>
      </c>
      <c r="Q50" s="24" t="s">
        <v>640</v>
      </c>
      <c r="R50" s="25" t="s">
        <v>641</v>
      </c>
      <c r="S50" s="26"/>
      <c r="T50" s="25" t="s">
        <v>642</v>
      </c>
      <c r="U50" s="27"/>
      <c r="V50" s="27"/>
      <c r="W50" s="27"/>
      <c r="X50" s="27"/>
    </row>
    <row r="51" ht="22.5" customHeight="1">
      <c r="A51" s="106"/>
      <c r="B51" s="40">
        <v>49.0</v>
      </c>
      <c r="C51" s="64" t="s">
        <v>178</v>
      </c>
      <c r="D51" s="40" t="s">
        <v>142</v>
      </c>
      <c r="E51" s="43" t="s">
        <v>643</v>
      </c>
      <c r="F51" s="40" t="s">
        <v>100</v>
      </c>
      <c r="G51" s="40" t="s">
        <v>644</v>
      </c>
      <c r="H51" s="44" t="s">
        <v>645</v>
      </c>
      <c r="I51" s="66" t="s">
        <v>646</v>
      </c>
      <c r="J51" s="66" t="s">
        <v>647</v>
      </c>
      <c r="K51" s="66" t="s">
        <v>648</v>
      </c>
      <c r="L51" s="86" t="s">
        <v>649</v>
      </c>
      <c r="M51" s="40" t="s">
        <v>650</v>
      </c>
      <c r="N51" s="40" t="s">
        <v>650</v>
      </c>
      <c r="O51" s="87" t="s">
        <v>651</v>
      </c>
      <c r="P51" s="40" t="s">
        <v>652</v>
      </c>
      <c r="Q51" s="88" t="s">
        <v>653</v>
      </c>
      <c r="R51" s="40" t="s">
        <v>654</v>
      </c>
      <c r="S51" s="46" t="s">
        <v>655</v>
      </c>
      <c r="T51" s="40" t="s">
        <v>656</v>
      </c>
      <c r="U51" s="47"/>
      <c r="V51" s="47"/>
      <c r="W51" s="47"/>
      <c r="X51" s="47"/>
    </row>
    <row r="52" ht="22.5" customHeight="1">
      <c r="A52" s="78"/>
      <c r="B52" s="7">
        <v>50.0</v>
      </c>
      <c r="C52" s="8"/>
      <c r="D52" s="7" t="s">
        <v>657</v>
      </c>
      <c r="E52" s="12" t="s">
        <v>658</v>
      </c>
      <c r="F52" s="7" t="s">
        <v>659</v>
      </c>
      <c r="G52" s="7" t="s">
        <v>32</v>
      </c>
      <c r="H52" s="14" t="s">
        <v>660</v>
      </c>
      <c r="I52" s="10" t="s">
        <v>661</v>
      </c>
      <c r="J52" s="10" t="s">
        <v>662</v>
      </c>
      <c r="K52" s="10" t="s">
        <v>663</v>
      </c>
      <c r="L52" s="84" t="s">
        <v>664</v>
      </c>
      <c r="M52" s="7" t="s">
        <v>665</v>
      </c>
      <c r="N52" s="7" t="s">
        <v>666</v>
      </c>
      <c r="O52" s="25" t="s">
        <v>667</v>
      </c>
      <c r="P52" s="25" t="s">
        <v>668</v>
      </c>
      <c r="Q52" s="24" t="s">
        <v>669</v>
      </c>
      <c r="R52" s="25" t="s">
        <v>670</v>
      </c>
      <c r="S52" s="26"/>
      <c r="T52" s="25" t="s">
        <v>671</v>
      </c>
      <c r="U52" s="27"/>
      <c r="V52" s="27"/>
      <c r="W52" s="27"/>
      <c r="X52" s="27"/>
    </row>
    <row r="53" ht="22.5" customHeight="1">
      <c r="A53" s="78"/>
      <c r="B53" s="7">
        <v>51.0</v>
      </c>
      <c r="C53" s="8"/>
      <c r="D53" s="7" t="s">
        <v>142</v>
      </c>
      <c r="E53" s="12" t="s">
        <v>672</v>
      </c>
      <c r="F53" s="7" t="s">
        <v>76</v>
      </c>
      <c r="G53" s="7" t="s">
        <v>673</v>
      </c>
      <c r="H53" s="14" t="s">
        <v>674</v>
      </c>
      <c r="I53" s="10" t="s">
        <v>675</v>
      </c>
      <c r="J53" s="10" t="s">
        <v>676</v>
      </c>
      <c r="K53" s="10" t="s">
        <v>677</v>
      </c>
      <c r="L53" s="84" t="s">
        <v>678</v>
      </c>
      <c r="M53" s="7" t="s">
        <v>679</v>
      </c>
      <c r="N53" s="7" t="s">
        <v>680</v>
      </c>
      <c r="O53" s="25" t="s">
        <v>681</v>
      </c>
      <c r="P53" s="7" t="s">
        <v>682</v>
      </c>
      <c r="Q53" s="24" t="s">
        <v>683</v>
      </c>
      <c r="R53" s="7" t="s">
        <v>684</v>
      </c>
      <c r="S53" s="28"/>
      <c r="T53" s="7" t="s">
        <v>685</v>
      </c>
      <c r="U53" s="1"/>
      <c r="V53" s="1"/>
      <c r="W53" s="1"/>
      <c r="X53" s="1"/>
    </row>
    <row r="54" ht="22.5" customHeight="1">
      <c r="A54" s="78"/>
      <c r="B54" s="7">
        <v>52.0</v>
      </c>
      <c r="C54" s="8"/>
      <c r="D54" s="7" t="s">
        <v>430</v>
      </c>
      <c r="E54" s="12" t="s">
        <v>686</v>
      </c>
      <c r="F54" s="7" t="s">
        <v>76</v>
      </c>
      <c r="G54" s="7" t="s">
        <v>687</v>
      </c>
      <c r="H54" s="14" t="s">
        <v>688</v>
      </c>
      <c r="I54" s="10" t="s">
        <v>675</v>
      </c>
      <c r="J54" s="10" t="s">
        <v>689</v>
      </c>
      <c r="K54" s="10" t="s">
        <v>690</v>
      </c>
      <c r="L54" s="84" t="s">
        <v>691</v>
      </c>
      <c r="M54" s="7" t="s">
        <v>692</v>
      </c>
      <c r="N54" s="7" t="s">
        <v>693</v>
      </c>
      <c r="O54" s="25" t="s">
        <v>694</v>
      </c>
      <c r="P54" s="25" t="s">
        <v>695</v>
      </c>
      <c r="Q54" s="24" t="s">
        <v>696</v>
      </c>
      <c r="R54" s="25" t="s">
        <v>697</v>
      </c>
      <c r="S54" s="26"/>
      <c r="T54" s="25" t="s">
        <v>698</v>
      </c>
      <c r="U54" s="27"/>
      <c r="V54" s="27"/>
      <c r="W54" s="27"/>
      <c r="X54" s="27"/>
    </row>
    <row r="55" ht="22.5" customHeight="1">
      <c r="A55" s="78"/>
      <c r="B55" s="7">
        <v>53.0</v>
      </c>
      <c r="C55" s="8"/>
      <c r="D55" s="7" t="s">
        <v>699</v>
      </c>
      <c r="E55" s="12" t="s">
        <v>700</v>
      </c>
      <c r="F55" s="7" t="s">
        <v>472</v>
      </c>
      <c r="G55" s="7" t="s">
        <v>701</v>
      </c>
      <c r="H55" s="14" t="s">
        <v>688</v>
      </c>
      <c r="I55" s="10" t="s">
        <v>675</v>
      </c>
      <c r="J55" s="10" t="s">
        <v>702</v>
      </c>
      <c r="K55" s="10" t="s">
        <v>703</v>
      </c>
      <c r="L55" s="84" t="s">
        <v>704</v>
      </c>
      <c r="M55" s="7" t="s">
        <v>705</v>
      </c>
      <c r="N55" s="7" t="s">
        <v>706</v>
      </c>
      <c r="O55" s="25" t="s">
        <v>707</v>
      </c>
      <c r="P55" s="7" t="s">
        <v>708</v>
      </c>
      <c r="Q55" s="24" t="s">
        <v>709</v>
      </c>
      <c r="R55" s="7" t="s">
        <v>710</v>
      </c>
      <c r="S55" s="28"/>
      <c r="T55" s="7" t="s">
        <v>711</v>
      </c>
      <c r="U55" s="1"/>
      <c r="V55" s="1"/>
      <c r="W55" s="1"/>
      <c r="X55" s="1"/>
    </row>
    <row r="56" ht="22.5" customHeight="1">
      <c r="A56" s="93"/>
      <c r="B56" s="54">
        <v>54.0</v>
      </c>
      <c r="C56" s="55" t="s">
        <v>73</v>
      </c>
      <c r="D56" s="54" t="s">
        <v>499</v>
      </c>
      <c r="E56" s="56" t="s">
        <v>712</v>
      </c>
      <c r="F56" s="54" t="s">
        <v>713</v>
      </c>
      <c r="G56" s="54" t="s">
        <v>714</v>
      </c>
      <c r="H56" s="57" t="s">
        <v>715</v>
      </c>
      <c r="I56" s="59" t="s">
        <v>716</v>
      </c>
      <c r="J56" s="59" t="s">
        <v>717</v>
      </c>
      <c r="K56" s="59" t="s">
        <v>718</v>
      </c>
      <c r="L56" s="94" t="s">
        <v>719</v>
      </c>
      <c r="M56" s="54" t="s">
        <v>720</v>
      </c>
      <c r="N56" s="54" t="s">
        <v>721</v>
      </c>
      <c r="O56" s="60" t="s">
        <v>722</v>
      </c>
      <c r="P56" s="74" t="s">
        <v>723</v>
      </c>
      <c r="Q56" s="97" t="s">
        <v>724</v>
      </c>
      <c r="R56" s="74" t="s">
        <v>725</v>
      </c>
      <c r="S56" s="76" t="s">
        <v>726</v>
      </c>
      <c r="T56" s="74" t="s">
        <v>727</v>
      </c>
      <c r="U56" s="77"/>
      <c r="V56" s="77"/>
      <c r="W56" s="77"/>
      <c r="X56" s="77"/>
    </row>
    <row r="57" ht="22.5" customHeight="1">
      <c r="A57" s="78"/>
      <c r="B57" s="7">
        <v>55.0</v>
      </c>
      <c r="C57" s="8"/>
      <c r="D57" s="7" t="s">
        <v>728</v>
      </c>
      <c r="E57" s="12" t="s">
        <v>729</v>
      </c>
      <c r="F57" s="7" t="s">
        <v>730</v>
      </c>
      <c r="G57" s="7" t="s">
        <v>32</v>
      </c>
      <c r="H57" s="14" t="s">
        <v>688</v>
      </c>
      <c r="I57" s="10" t="s">
        <v>675</v>
      </c>
      <c r="J57" s="10" t="s">
        <v>731</v>
      </c>
      <c r="K57" s="10" t="s">
        <v>732</v>
      </c>
      <c r="L57" s="84" t="s">
        <v>733</v>
      </c>
      <c r="M57" s="7" t="s">
        <v>734</v>
      </c>
      <c r="N57" s="7" t="s">
        <v>735</v>
      </c>
      <c r="O57" s="25" t="s">
        <v>736</v>
      </c>
      <c r="P57" s="25" t="s">
        <v>737</v>
      </c>
      <c r="Q57" s="24" t="s">
        <v>738</v>
      </c>
      <c r="R57" s="25" t="s">
        <v>739</v>
      </c>
      <c r="S57" s="26"/>
      <c r="T57" s="25" t="s">
        <v>740</v>
      </c>
      <c r="U57" s="27"/>
      <c r="V57" s="27"/>
      <c r="W57" s="27"/>
      <c r="X57" s="27"/>
    </row>
    <row r="58" ht="22.5" customHeight="1">
      <c r="A58" s="31"/>
      <c r="B58" s="54">
        <v>56.0</v>
      </c>
      <c r="C58" s="55" t="s">
        <v>361</v>
      </c>
      <c r="D58" s="54" t="s">
        <v>142</v>
      </c>
      <c r="E58" s="56" t="s">
        <v>741</v>
      </c>
      <c r="F58" s="54" t="s">
        <v>100</v>
      </c>
      <c r="G58" s="54" t="s">
        <v>32</v>
      </c>
      <c r="H58" s="57" t="s">
        <v>742</v>
      </c>
      <c r="I58" s="59" t="s">
        <v>743</v>
      </c>
      <c r="J58" s="59" t="s">
        <v>744</v>
      </c>
      <c r="K58" s="59" t="s">
        <v>745</v>
      </c>
      <c r="L58" s="94" t="s">
        <v>746</v>
      </c>
      <c r="M58" s="54" t="s">
        <v>747</v>
      </c>
      <c r="N58" s="54" t="s">
        <v>748</v>
      </c>
      <c r="O58" s="60" t="s">
        <v>749</v>
      </c>
      <c r="P58" s="60" t="s">
        <v>750</v>
      </c>
      <c r="Q58" s="61" t="s">
        <v>751</v>
      </c>
      <c r="R58" s="60" t="s">
        <v>752</v>
      </c>
      <c r="S58" s="62" t="s">
        <v>753</v>
      </c>
      <c r="T58" s="60" t="s">
        <v>754</v>
      </c>
      <c r="U58" s="63"/>
      <c r="V58" s="63"/>
      <c r="W58" s="63"/>
      <c r="X58" s="63"/>
    </row>
    <row r="59" ht="22.5" customHeight="1">
      <c r="A59" s="78"/>
      <c r="B59" s="7">
        <v>57.0</v>
      </c>
      <c r="C59" s="8"/>
      <c r="D59" s="7" t="s">
        <v>308</v>
      </c>
      <c r="E59" s="12" t="s">
        <v>755</v>
      </c>
      <c r="F59" s="7" t="s">
        <v>125</v>
      </c>
      <c r="G59" s="7" t="s">
        <v>209</v>
      </c>
      <c r="H59" s="14" t="s">
        <v>756</v>
      </c>
      <c r="I59" s="10" t="s">
        <v>757</v>
      </c>
      <c r="J59" s="10" t="s">
        <v>758</v>
      </c>
      <c r="K59" s="10" t="s">
        <v>759</v>
      </c>
      <c r="L59" s="84" t="s">
        <v>760</v>
      </c>
      <c r="M59" s="7" t="s">
        <v>761</v>
      </c>
      <c r="N59" s="7" t="s">
        <v>762</v>
      </c>
      <c r="O59" s="25" t="s">
        <v>763</v>
      </c>
      <c r="P59" s="7" t="s">
        <v>764</v>
      </c>
      <c r="Q59" s="24" t="s">
        <v>765</v>
      </c>
      <c r="R59" s="7" t="s">
        <v>766</v>
      </c>
      <c r="S59" s="28"/>
      <c r="T59" s="7" t="s">
        <v>767</v>
      </c>
      <c r="U59" s="1"/>
      <c r="V59" s="1"/>
      <c r="W59" s="1"/>
      <c r="X59" s="1"/>
    </row>
    <row r="60" ht="22.5" customHeight="1">
      <c r="A60" s="78"/>
      <c r="B60" s="7">
        <v>58.0</v>
      </c>
      <c r="C60" s="8"/>
      <c r="D60" s="7" t="s">
        <v>308</v>
      </c>
      <c r="E60" s="12" t="s">
        <v>768</v>
      </c>
      <c r="F60" s="7" t="s">
        <v>769</v>
      </c>
      <c r="G60" s="7" t="s">
        <v>770</v>
      </c>
      <c r="H60" s="14" t="s">
        <v>771</v>
      </c>
      <c r="I60" s="10" t="s">
        <v>772</v>
      </c>
      <c r="J60" s="10" t="s">
        <v>773</v>
      </c>
      <c r="K60" s="10" t="s">
        <v>774</v>
      </c>
      <c r="L60" s="84" t="s">
        <v>775</v>
      </c>
      <c r="M60" s="7" t="s">
        <v>776</v>
      </c>
      <c r="N60" s="7" t="s">
        <v>777</v>
      </c>
      <c r="O60" s="25" t="s">
        <v>778</v>
      </c>
      <c r="P60" s="25" t="s">
        <v>779</v>
      </c>
      <c r="Q60" s="25" t="s">
        <v>780</v>
      </c>
      <c r="R60" s="25" t="s">
        <v>781</v>
      </c>
      <c r="S60" s="26" t="s">
        <v>782</v>
      </c>
      <c r="T60" s="25" t="s">
        <v>783</v>
      </c>
      <c r="U60" s="27"/>
      <c r="V60" s="27"/>
      <c r="W60" s="27"/>
      <c r="X60" s="27"/>
    </row>
    <row r="61" ht="22.5" customHeight="1">
      <c r="A61" s="78"/>
      <c r="B61" s="7">
        <v>59.0</v>
      </c>
      <c r="C61" s="8"/>
      <c r="D61" s="7" t="s">
        <v>74</v>
      </c>
      <c r="E61" s="12" t="s">
        <v>784</v>
      </c>
      <c r="F61" s="7" t="s">
        <v>785</v>
      </c>
      <c r="G61" s="7" t="s">
        <v>786</v>
      </c>
      <c r="H61" s="14" t="s">
        <v>575</v>
      </c>
      <c r="I61" s="10" t="s">
        <v>787</v>
      </c>
      <c r="J61" s="10" t="s">
        <v>788</v>
      </c>
      <c r="K61" s="10" t="s">
        <v>789</v>
      </c>
      <c r="L61" s="84" t="s">
        <v>790</v>
      </c>
      <c r="M61" s="7" t="s">
        <v>791</v>
      </c>
      <c r="N61" s="7" t="s">
        <v>792</v>
      </c>
      <c r="O61" s="25" t="s">
        <v>793</v>
      </c>
      <c r="P61" s="7" t="s">
        <v>794</v>
      </c>
      <c r="Q61" s="7" t="s">
        <v>795</v>
      </c>
      <c r="R61" s="7"/>
      <c r="S61" s="28" t="s">
        <v>796</v>
      </c>
      <c r="T61" s="7"/>
      <c r="U61" s="1"/>
      <c r="V61" s="1"/>
      <c r="W61" s="1"/>
      <c r="X61" s="1"/>
    </row>
    <row r="62" ht="22.5" customHeight="1">
      <c r="A62" s="107"/>
      <c r="B62" s="108">
        <v>60.0</v>
      </c>
      <c r="C62" s="109" t="s">
        <v>73</v>
      </c>
      <c r="D62" s="110" t="s">
        <v>797</v>
      </c>
      <c r="E62" s="108" t="s">
        <v>798</v>
      </c>
      <c r="F62" s="108" t="s">
        <v>125</v>
      </c>
      <c r="G62" s="108" t="s">
        <v>32</v>
      </c>
      <c r="H62" s="111" t="s">
        <v>799</v>
      </c>
      <c r="I62" s="112" t="s">
        <v>800</v>
      </c>
      <c r="J62" s="112" t="s">
        <v>801</v>
      </c>
      <c r="K62" s="113" t="s">
        <v>802</v>
      </c>
      <c r="L62" s="108" t="s">
        <v>803</v>
      </c>
      <c r="M62" s="108" t="s">
        <v>804</v>
      </c>
      <c r="N62" s="114" t="s">
        <v>805</v>
      </c>
      <c r="O62" s="114" t="s">
        <v>806</v>
      </c>
      <c r="P62" s="114" t="s">
        <v>807</v>
      </c>
      <c r="Q62" s="115" t="s">
        <v>808</v>
      </c>
      <c r="R62" s="114" t="s">
        <v>809</v>
      </c>
      <c r="S62" s="114" t="s">
        <v>810</v>
      </c>
      <c r="T62" s="114" t="s">
        <v>811</v>
      </c>
      <c r="U62" s="116"/>
      <c r="V62" s="116"/>
      <c r="W62" s="116"/>
      <c r="X62" s="116"/>
    </row>
    <row r="63" ht="22.5" customHeight="1">
      <c r="A63" s="78"/>
      <c r="B63" s="7">
        <v>61.0</v>
      </c>
      <c r="C63" s="8"/>
      <c r="D63" s="7" t="s">
        <v>812</v>
      </c>
      <c r="E63" s="12" t="s">
        <v>813</v>
      </c>
      <c r="F63" s="7" t="s">
        <v>125</v>
      </c>
      <c r="G63" s="7" t="s">
        <v>209</v>
      </c>
      <c r="H63" s="14" t="s">
        <v>814</v>
      </c>
      <c r="I63" s="10" t="s">
        <v>815</v>
      </c>
      <c r="J63" s="10" t="s">
        <v>816</v>
      </c>
      <c r="K63" s="10" t="s">
        <v>817</v>
      </c>
      <c r="L63" s="84" t="s">
        <v>818</v>
      </c>
      <c r="M63" s="7" t="s">
        <v>819</v>
      </c>
      <c r="N63" s="7" t="s">
        <v>820</v>
      </c>
      <c r="O63" s="25" t="s">
        <v>821</v>
      </c>
      <c r="P63" s="7" t="s">
        <v>822</v>
      </c>
      <c r="Q63" s="7"/>
      <c r="R63" s="7"/>
      <c r="S63" s="7" t="s">
        <v>823</v>
      </c>
      <c r="T63" s="7"/>
      <c r="U63" s="1"/>
      <c r="V63" s="1"/>
      <c r="W63" s="1"/>
      <c r="X63" s="1"/>
    </row>
    <row r="64" ht="22.5" customHeight="1">
      <c r="A64" s="93"/>
      <c r="B64" s="54">
        <v>62.0</v>
      </c>
      <c r="C64" s="117" t="s">
        <v>824</v>
      </c>
      <c r="D64" s="54" t="s">
        <v>308</v>
      </c>
      <c r="E64" s="56" t="s">
        <v>825</v>
      </c>
      <c r="F64" s="54" t="s">
        <v>826</v>
      </c>
      <c r="G64" s="54" t="s">
        <v>827</v>
      </c>
      <c r="H64" s="57" t="s">
        <v>771</v>
      </c>
      <c r="I64" s="59" t="s">
        <v>828</v>
      </c>
      <c r="J64" s="59" t="s">
        <v>829</v>
      </c>
      <c r="K64" s="59" t="s">
        <v>830</v>
      </c>
      <c r="L64" s="94" t="s">
        <v>831</v>
      </c>
      <c r="M64" s="54" t="s">
        <v>832</v>
      </c>
      <c r="N64" s="54" t="s">
        <v>833</v>
      </c>
      <c r="O64" s="60" t="s">
        <v>834</v>
      </c>
      <c r="P64" s="60" t="s">
        <v>835</v>
      </c>
      <c r="Q64" s="61" t="s">
        <v>836</v>
      </c>
      <c r="R64" s="60"/>
      <c r="S64" s="60" t="s">
        <v>837</v>
      </c>
      <c r="T64" s="60"/>
      <c r="U64" s="63"/>
      <c r="V64" s="63"/>
      <c r="W64" s="63"/>
      <c r="X64" s="63"/>
    </row>
    <row r="65" ht="22.5" customHeight="1">
      <c r="A65" s="118"/>
      <c r="B65" s="7">
        <v>63.0</v>
      </c>
      <c r="C65" s="119" t="s">
        <v>838</v>
      </c>
      <c r="D65" s="7" t="s">
        <v>839</v>
      </c>
      <c r="E65" s="12" t="s">
        <v>838</v>
      </c>
      <c r="F65" s="7" t="s">
        <v>840</v>
      </c>
      <c r="G65" s="7" t="s">
        <v>841</v>
      </c>
      <c r="H65" s="14" t="s">
        <v>575</v>
      </c>
      <c r="I65" s="10" t="s">
        <v>842</v>
      </c>
      <c r="J65" s="10" t="s">
        <v>843</v>
      </c>
      <c r="K65" s="10" t="s">
        <v>844</v>
      </c>
      <c r="L65" s="84" t="s">
        <v>845</v>
      </c>
      <c r="M65" s="7" t="s">
        <v>846</v>
      </c>
      <c r="N65" s="7" t="s">
        <v>847</v>
      </c>
      <c r="O65" s="25" t="s">
        <v>848</v>
      </c>
      <c r="P65" s="7" t="s">
        <v>849</v>
      </c>
      <c r="Q65" s="24" t="s">
        <v>850</v>
      </c>
      <c r="R65" s="7"/>
      <c r="S65" s="7" t="s">
        <v>851</v>
      </c>
      <c r="T65" s="7"/>
      <c r="U65" s="1"/>
      <c r="V65" s="1"/>
      <c r="W65" s="1"/>
      <c r="X65" s="1"/>
    </row>
    <row r="66" ht="22.5" customHeight="1">
      <c r="A66" s="78"/>
      <c r="B66" s="7">
        <v>64.0</v>
      </c>
      <c r="C66" s="119" t="s">
        <v>852</v>
      </c>
      <c r="D66" s="7" t="s">
        <v>853</v>
      </c>
      <c r="E66" s="12" t="s">
        <v>854</v>
      </c>
      <c r="F66" s="7" t="s">
        <v>855</v>
      </c>
      <c r="G66" s="7" t="s">
        <v>856</v>
      </c>
      <c r="H66" s="14" t="s">
        <v>771</v>
      </c>
      <c r="I66" s="10" t="s">
        <v>757</v>
      </c>
      <c r="J66" s="10" t="s">
        <v>857</v>
      </c>
      <c r="K66" s="10" t="s">
        <v>858</v>
      </c>
      <c r="L66" s="84" t="s">
        <v>859</v>
      </c>
      <c r="M66" s="7" t="s">
        <v>860</v>
      </c>
      <c r="N66" s="7" t="s">
        <v>861</v>
      </c>
      <c r="O66" s="25" t="s">
        <v>862</v>
      </c>
      <c r="P66" s="25" t="s">
        <v>863</v>
      </c>
      <c r="Q66" s="24" t="s">
        <v>864</v>
      </c>
      <c r="R66" s="25"/>
      <c r="S66" s="25" t="s">
        <v>865</v>
      </c>
      <c r="T66" s="25"/>
      <c r="U66" s="27"/>
      <c r="V66" s="27"/>
      <c r="W66" s="27"/>
      <c r="X66" s="27"/>
    </row>
    <row r="67" ht="22.5" customHeight="1">
      <c r="A67" s="120"/>
      <c r="B67" s="121">
        <v>65.0</v>
      </c>
      <c r="C67" s="122" t="s">
        <v>852</v>
      </c>
      <c r="D67" s="121" t="s">
        <v>308</v>
      </c>
      <c r="E67" s="121" t="s">
        <v>866</v>
      </c>
      <c r="F67" s="121" t="s">
        <v>125</v>
      </c>
      <c r="G67" s="121" t="s">
        <v>867</v>
      </c>
      <c r="H67" s="123" t="s">
        <v>868</v>
      </c>
      <c r="I67" s="124" t="s">
        <v>869</v>
      </c>
      <c r="J67" s="124" t="s">
        <v>870</v>
      </c>
      <c r="K67" s="124" t="s">
        <v>871</v>
      </c>
      <c r="L67" s="120" t="s">
        <v>872</v>
      </c>
      <c r="M67" s="120" t="s">
        <v>873</v>
      </c>
      <c r="N67" s="120" t="s">
        <v>874</v>
      </c>
      <c r="O67" s="120" t="s">
        <v>875</v>
      </c>
      <c r="P67" s="120" t="s">
        <v>876</v>
      </c>
      <c r="Q67" s="125" t="s">
        <v>877</v>
      </c>
      <c r="R67" s="120"/>
      <c r="S67" s="120" t="s">
        <v>878</v>
      </c>
      <c r="T67" s="126"/>
      <c r="U67" s="127"/>
      <c r="V67" s="127"/>
      <c r="W67" s="127"/>
      <c r="X67" s="127"/>
    </row>
    <row r="68" ht="22.5" customHeight="1">
      <c r="A68" s="128"/>
      <c r="B68" s="129">
        <v>66.0</v>
      </c>
      <c r="C68" s="130" t="s">
        <v>852</v>
      </c>
      <c r="D68" s="129" t="s">
        <v>74</v>
      </c>
      <c r="E68" s="129" t="s">
        <v>879</v>
      </c>
      <c r="F68" s="129" t="s">
        <v>880</v>
      </c>
      <c r="G68" s="129" t="s">
        <v>32</v>
      </c>
      <c r="H68" s="131" t="s">
        <v>881</v>
      </c>
      <c r="I68" s="132" t="s">
        <v>882</v>
      </c>
      <c r="J68" s="132" t="s">
        <v>883</v>
      </c>
      <c r="K68" s="132" t="s">
        <v>884</v>
      </c>
      <c r="L68" s="128" t="s">
        <v>885</v>
      </c>
      <c r="M68" s="128" t="s">
        <v>886</v>
      </c>
      <c r="N68" s="128" t="s">
        <v>887</v>
      </c>
      <c r="O68" s="128" t="s">
        <v>888</v>
      </c>
      <c r="P68" s="128"/>
      <c r="Q68" s="133" t="s">
        <v>889</v>
      </c>
      <c r="R68" s="128" t="s">
        <v>890</v>
      </c>
      <c r="S68" s="134"/>
      <c r="T68" s="134"/>
      <c r="U68" s="135"/>
      <c r="V68" s="135"/>
      <c r="W68" s="135"/>
      <c r="X68" s="135"/>
    </row>
    <row r="69" ht="22.5" customHeight="1">
      <c r="A69" s="120"/>
      <c r="B69" s="121">
        <v>67.0</v>
      </c>
      <c r="C69" s="122" t="s">
        <v>852</v>
      </c>
      <c r="D69" s="121" t="s">
        <v>430</v>
      </c>
      <c r="E69" s="121" t="s">
        <v>891</v>
      </c>
      <c r="F69" s="121" t="s">
        <v>125</v>
      </c>
      <c r="G69" s="121" t="s">
        <v>892</v>
      </c>
      <c r="H69" s="123" t="s">
        <v>893</v>
      </c>
      <c r="I69" s="124" t="s">
        <v>894</v>
      </c>
      <c r="J69" s="124" t="s">
        <v>895</v>
      </c>
      <c r="K69" s="124" t="s">
        <v>896</v>
      </c>
      <c r="L69" s="120" t="s">
        <v>897</v>
      </c>
      <c r="M69" s="120" t="s">
        <v>898</v>
      </c>
      <c r="N69" s="120" t="s">
        <v>899</v>
      </c>
      <c r="O69" s="120" t="s">
        <v>900</v>
      </c>
      <c r="P69" s="120" t="s">
        <v>901</v>
      </c>
      <c r="Q69" s="125" t="s">
        <v>902</v>
      </c>
      <c r="R69" s="120"/>
      <c r="S69" s="120" t="s">
        <v>903</v>
      </c>
      <c r="T69" s="126"/>
      <c r="U69" s="127"/>
      <c r="V69" s="127"/>
      <c r="W69" s="127"/>
      <c r="X69" s="127"/>
    </row>
    <row r="70" ht="22.5" customHeight="1">
      <c r="A70" s="128"/>
      <c r="B70" s="129">
        <v>68.0</v>
      </c>
      <c r="C70" s="130" t="s">
        <v>852</v>
      </c>
      <c r="D70" s="129" t="s">
        <v>142</v>
      </c>
      <c r="E70" s="129" t="s">
        <v>904</v>
      </c>
      <c r="F70" s="129" t="s">
        <v>100</v>
      </c>
      <c r="G70" s="129" t="s">
        <v>77</v>
      </c>
      <c r="H70" s="131" t="s">
        <v>771</v>
      </c>
      <c r="I70" s="132" t="s">
        <v>905</v>
      </c>
      <c r="J70" s="132" t="s">
        <v>906</v>
      </c>
      <c r="K70" s="132" t="s">
        <v>907</v>
      </c>
      <c r="L70" s="128" t="s">
        <v>908</v>
      </c>
      <c r="M70" s="128" t="s">
        <v>909</v>
      </c>
      <c r="N70" s="128" t="s">
        <v>910</v>
      </c>
      <c r="O70" s="128" t="s">
        <v>911</v>
      </c>
      <c r="P70" s="128"/>
      <c r="Q70" s="133" t="s">
        <v>912</v>
      </c>
      <c r="R70" s="128"/>
      <c r="S70" s="134"/>
      <c r="T70" s="134"/>
      <c r="U70" s="135"/>
      <c r="V70" s="135"/>
      <c r="W70" s="135"/>
      <c r="X70" s="135"/>
    </row>
    <row r="71" ht="22.5" customHeight="1">
      <c r="A71" s="120"/>
      <c r="B71" s="121">
        <v>69.0</v>
      </c>
      <c r="C71" s="122" t="s">
        <v>852</v>
      </c>
      <c r="D71" s="121" t="s">
        <v>74</v>
      </c>
      <c r="E71" s="121" t="s">
        <v>913</v>
      </c>
      <c r="F71" s="121" t="s">
        <v>100</v>
      </c>
      <c r="G71" s="121" t="s">
        <v>602</v>
      </c>
      <c r="H71" s="123" t="s">
        <v>771</v>
      </c>
      <c r="I71" s="124" t="s">
        <v>815</v>
      </c>
      <c r="J71" s="124" t="s">
        <v>914</v>
      </c>
      <c r="K71" s="124" t="s">
        <v>915</v>
      </c>
      <c r="L71" s="120" t="s">
        <v>916</v>
      </c>
      <c r="M71" s="120" t="s">
        <v>917</v>
      </c>
      <c r="N71" s="120" t="s">
        <v>918</v>
      </c>
      <c r="O71" s="120" t="s">
        <v>919</v>
      </c>
      <c r="P71" s="120" t="s">
        <v>920</v>
      </c>
      <c r="Q71" s="125" t="s">
        <v>921</v>
      </c>
      <c r="R71" s="120" t="s">
        <v>922</v>
      </c>
      <c r="S71" s="126"/>
      <c r="T71" s="126"/>
      <c r="U71" s="127"/>
      <c r="V71" s="127"/>
      <c r="W71" s="127"/>
      <c r="X71" s="127"/>
    </row>
    <row r="72" ht="22.5" customHeight="1">
      <c r="A72" s="128"/>
      <c r="B72" s="129">
        <v>70.0</v>
      </c>
      <c r="C72" s="130" t="s">
        <v>852</v>
      </c>
      <c r="D72" s="128" t="s">
        <v>308</v>
      </c>
      <c r="E72" s="129" t="s">
        <v>923</v>
      </c>
      <c r="F72" s="128" t="s">
        <v>924</v>
      </c>
      <c r="G72" s="128" t="s">
        <v>925</v>
      </c>
      <c r="H72" s="131" t="s">
        <v>868</v>
      </c>
      <c r="I72" s="132" t="s">
        <v>926</v>
      </c>
      <c r="J72" s="132" t="s">
        <v>927</v>
      </c>
      <c r="K72" s="132" t="s">
        <v>928</v>
      </c>
      <c r="L72" s="128" t="s">
        <v>929</v>
      </c>
      <c r="M72" s="128" t="s">
        <v>930</v>
      </c>
      <c r="N72" s="128" t="s">
        <v>931</v>
      </c>
      <c r="O72" s="128" t="s">
        <v>932</v>
      </c>
      <c r="P72" s="128" t="s">
        <v>933</v>
      </c>
      <c r="Q72" s="128"/>
      <c r="R72" s="128" t="s">
        <v>934</v>
      </c>
      <c r="S72" s="134"/>
      <c r="T72" s="134"/>
      <c r="U72" s="135"/>
      <c r="V72" s="135"/>
      <c r="W72" s="135"/>
      <c r="X72" s="135"/>
    </row>
    <row r="73" ht="22.5" customHeight="1">
      <c r="A73" s="136"/>
      <c r="B73" s="137">
        <v>71.0</v>
      </c>
      <c r="C73" s="138" t="s">
        <v>852</v>
      </c>
      <c r="D73" s="136" t="s">
        <v>935</v>
      </c>
      <c r="E73" s="137" t="s">
        <v>936</v>
      </c>
      <c r="F73" s="137" t="s">
        <v>100</v>
      </c>
      <c r="G73" s="137" t="s">
        <v>209</v>
      </c>
      <c r="H73" s="139" t="s">
        <v>937</v>
      </c>
      <c r="I73" s="140" t="s">
        <v>938</v>
      </c>
      <c r="J73" s="140" t="s">
        <v>939</v>
      </c>
      <c r="K73" s="140" t="s">
        <v>940</v>
      </c>
      <c r="L73" s="136" t="s">
        <v>941</v>
      </c>
      <c r="M73" s="136" t="s">
        <v>942</v>
      </c>
      <c r="N73" s="136" t="s">
        <v>943</v>
      </c>
      <c r="O73" s="136" t="s">
        <v>944</v>
      </c>
      <c r="P73" s="136"/>
      <c r="Q73" s="136"/>
      <c r="R73" s="136" t="s">
        <v>945</v>
      </c>
      <c r="S73" s="141"/>
      <c r="T73" s="141"/>
      <c r="U73" s="142"/>
      <c r="V73" s="142"/>
      <c r="W73" s="142"/>
      <c r="X73" s="142"/>
    </row>
    <row r="74" ht="22.5" customHeight="1">
      <c r="A74" s="128"/>
      <c r="B74" s="129">
        <v>72.0</v>
      </c>
      <c r="C74" s="130" t="s">
        <v>946</v>
      </c>
      <c r="D74" s="129" t="s">
        <v>74</v>
      </c>
      <c r="E74" s="129" t="s">
        <v>947</v>
      </c>
      <c r="F74" s="129" t="s">
        <v>100</v>
      </c>
      <c r="G74" s="129" t="s">
        <v>602</v>
      </c>
      <c r="H74" s="131" t="s">
        <v>771</v>
      </c>
      <c r="I74" s="132" t="s">
        <v>948</v>
      </c>
      <c r="J74" s="132" t="s">
        <v>949</v>
      </c>
      <c r="K74" s="132" t="s">
        <v>950</v>
      </c>
      <c r="L74" s="128" t="s">
        <v>951</v>
      </c>
      <c r="M74" s="128" t="s">
        <v>952</v>
      </c>
      <c r="N74" s="128" t="s">
        <v>953</v>
      </c>
      <c r="O74" s="128" t="s">
        <v>954</v>
      </c>
      <c r="P74" s="128" t="s">
        <v>955</v>
      </c>
      <c r="Q74" s="133" t="s">
        <v>956</v>
      </c>
      <c r="R74" s="128" t="s">
        <v>957</v>
      </c>
      <c r="S74" s="134"/>
      <c r="T74" s="134"/>
      <c r="U74" s="135"/>
      <c r="V74" s="135"/>
      <c r="W74" s="135"/>
      <c r="X74" s="135"/>
    </row>
    <row r="75" ht="22.5" customHeight="1">
      <c r="A75" s="136"/>
      <c r="B75" s="137">
        <v>73.0</v>
      </c>
      <c r="C75" s="138"/>
      <c r="D75" s="137" t="s">
        <v>958</v>
      </c>
      <c r="E75" s="137" t="s">
        <v>959</v>
      </c>
      <c r="F75" s="137" t="s">
        <v>125</v>
      </c>
      <c r="G75" s="137" t="s">
        <v>209</v>
      </c>
      <c r="H75" s="139" t="s">
        <v>960</v>
      </c>
      <c r="I75" s="143" t="s">
        <v>961</v>
      </c>
      <c r="J75" s="140" t="s">
        <v>962</v>
      </c>
      <c r="K75" s="140" t="s">
        <v>963</v>
      </c>
      <c r="L75" s="136" t="s">
        <v>964</v>
      </c>
      <c r="M75" s="136" t="s">
        <v>965</v>
      </c>
      <c r="N75" s="136" t="s">
        <v>966</v>
      </c>
      <c r="O75" s="136" t="s">
        <v>967</v>
      </c>
      <c r="P75" s="136" t="s">
        <v>968</v>
      </c>
      <c r="Q75" s="144" t="s">
        <v>969</v>
      </c>
      <c r="R75" s="136" t="s">
        <v>970</v>
      </c>
      <c r="S75" s="141"/>
      <c r="T75" s="141"/>
      <c r="U75" s="142"/>
      <c r="V75" s="142"/>
      <c r="W75" s="142"/>
      <c r="X75" s="142"/>
    </row>
    <row r="76" ht="22.5" customHeight="1">
      <c r="A76" s="31"/>
      <c r="B76" s="129">
        <v>74.0</v>
      </c>
      <c r="C76" s="145" t="s">
        <v>73</v>
      </c>
      <c r="D76" s="129" t="s">
        <v>74</v>
      </c>
      <c r="E76" s="129" t="s">
        <v>971</v>
      </c>
      <c r="F76" s="129" t="s">
        <v>125</v>
      </c>
      <c r="G76" s="129" t="s">
        <v>972</v>
      </c>
      <c r="H76" s="146" t="s">
        <v>575</v>
      </c>
      <c r="I76" s="147" t="s">
        <v>973</v>
      </c>
      <c r="J76" s="132" t="s">
        <v>974</v>
      </c>
      <c r="K76" s="132" t="s">
        <v>975</v>
      </c>
      <c r="L76" s="128" t="s">
        <v>976</v>
      </c>
      <c r="M76" s="128" t="s">
        <v>977</v>
      </c>
      <c r="N76" s="128" t="s">
        <v>978</v>
      </c>
      <c r="O76" s="128" t="s">
        <v>979</v>
      </c>
      <c r="P76" s="128" t="s">
        <v>980</v>
      </c>
      <c r="Q76" s="133" t="s">
        <v>981</v>
      </c>
      <c r="R76" s="128" t="s">
        <v>982</v>
      </c>
      <c r="S76" s="133" t="s">
        <v>983</v>
      </c>
      <c r="T76" s="134"/>
      <c r="U76" s="135"/>
      <c r="V76" s="135"/>
      <c r="W76" s="135"/>
      <c r="X76" s="135"/>
    </row>
    <row r="77" ht="22.5" customHeight="1">
      <c r="A77" s="121"/>
      <c r="B77" s="121">
        <v>75.0</v>
      </c>
      <c r="C77" s="121"/>
      <c r="D77" s="121" t="s">
        <v>984</v>
      </c>
      <c r="E77" s="121" t="s">
        <v>985</v>
      </c>
      <c r="F77" s="121" t="s">
        <v>986</v>
      </c>
      <c r="G77" s="121" t="s">
        <v>32</v>
      </c>
      <c r="H77" s="148" t="s">
        <v>893</v>
      </c>
      <c r="I77" s="149" t="s">
        <v>987</v>
      </c>
      <c r="J77" s="124" t="s">
        <v>988</v>
      </c>
      <c r="K77" s="124" t="s">
        <v>989</v>
      </c>
      <c r="L77" s="120" t="s">
        <v>990</v>
      </c>
      <c r="M77" s="120" t="s">
        <v>991</v>
      </c>
      <c r="N77" s="120" t="s">
        <v>992</v>
      </c>
      <c r="O77" s="120" t="s">
        <v>993</v>
      </c>
      <c r="P77" s="120" t="s">
        <v>994</v>
      </c>
      <c r="Q77" s="125" t="s">
        <v>995</v>
      </c>
      <c r="R77" s="120" t="s">
        <v>996</v>
      </c>
      <c r="S77" s="126"/>
      <c r="T77" s="126"/>
      <c r="U77" s="127"/>
      <c r="V77" s="127"/>
      <c r="W77" s="127"/>
      <c r="X77" s="127"/>
    </row>
    <row r="78" ht="22.5" customHeight="1">
      <c r="A78" s="150" t="s">
        <v>997</v>
      </c>
      <c r="B78" s="150">
        <v>76.0</v>
      </c>
      <c r="C78" s="151" t="s">
        <v>178</v>
      </c>
      <c r="D78" s="152" t="s">
        <v>998</v>
      </c>
      <c r="E78" s="150" t="s">
        <v>999</v>
      </c>
      <c r="F78" s="150" t="s">
        <v>125</v>
      </c>
      <c r="G78" s="150" t="s">
        <v>252</v>
      </c>
      <c r="H78" s="153" t="s">
        <v>1000</v>
      </c>
      <c r="I78" s="154" t="s">
        <v>1001</v>
      </c>
      <c r="J78" s="154" t="s">
        <v>1002</v>
      </c>
      <c r="K78" s="154" t="s">
        <v>1003</v>
      </c>
      <c r="L78" s="155" t="s">
        <v>1004</v>
      </c>
      <c r="M78" s="155" t="s">
        <v>1005</v>
      </c>
      <c r="N78" s="155" t="s">
        <v>1006</v>
      </c>
      <c r="O78" s="155" t="s">
        <v>1007</v>
      </c>
      <c r="P78" s="155" t="s">
        <v>1008</v>
      </c>
      <c r="Q78" s="156" t="s">
        <v>1009</v>
      </c>
      <c r="R78" s="155" t="s">
        <v>1010</v>
      </c>
      <c r="S78" s="157"/>
      <c r="T78" s="157"/>
      <c r="U78" s="158"/>
      <c r="V78" s="158"/>
      <c r="W78" s="158"/>
      <c r="X78" s="158"/>
    </row>
    <row r="79" ht="22.5" customHeight="1">
      <c r="A79" s="126"/>
      <c r="B79" s="121">
        <v>77.0</v>
      </c>
      <c r="C79" s="126"/>
      <c r="D79" s="159" t="s">
        <v>529</v>
      </c>
      <c r="E79" s="160" t="s">
        <v>1011</v>
      </c>
      <c r="F79" s="159" t="s">
        <v>100</v>
      </c>
      <c r="G79" s="159" t="s">
        <v>77</v>
      </c>
      <c r="H79" s="161" t="s">
        <v>799</v>
      </c>
      <c r="I79" s="162" t="s">
        <v>632</v>
      </c>
      <c r="J79" s="162" t="s">
        <v>1012</v>
      </c>
      <c r="K79" s="162" t="s">
        <v>1013</v>
      </c>
      <c r="L79" s="126" t="s">
        <v>1014</v>
      </c>
      <c r="M79" s="126" t="s">
        <v>1015</v>
      </c>
      <c r="N79" s="126" t="s">
        <v>1016</v>
      </c>
      <c r="O79" s="126" t="s">
        <v>1017</v>
      </c>
      <c r="P79" s="126" t="s">
        <v>1018</v>
      </c>
      <c r="Q79" s="163" t="s">
        <v>1019</v>
      </c>
      <c r="R79" s="126" t="s">
        <v>1020</v>
      </c>
      <c r="S79" s="126" t="s">
        <v>782</v>
      </c>
      <c r="T79" s="126" t="s">
        <v>1021</v>
      </c>
      <c r="U79" s="127"/>
      <c r="V79" s="127"/>
      <c r="W79" s="127"/>
      <c r="X79" s="127"/>
    </row>
    <row r="80" ht="22.5" customHeight="1">
      <c r="A80" s="164"/>
      <c r="B80" s="7">
        <v>78.0</v>
      </c>
      <c r="C80" s="165"/>
      <c r="D80" s="165" t="s">
        <v>1022</v>
      </c>
      <c r="E80" s="166" t="s">
        <v>1023</v>
      </c>
      <c r="F80" s="165" t="s">
        <v>76</v>
      </c>
      <c r="G80" s="165" t="s">
        <v>209</v>
      </c>
      <c r="H80" s="167" t="s">
        <v>688</v>
      </c>
      <c r="I80" s="134" t="s">
        <v>1024</v>
      </c>
      <c r="J80" s="168" t="s">
        <v>1025</v>
      </c>
      <c r="K80" s="169" t="s">
        <v>1026</v>
      </c>
      <c r="L80" s="169" t="s">
        <v>1027</v>
      </c>
      <c r="M80" s="169" t="s">
        <v>1028</v>
      </c>
      <c r="N80" s="134" t="s">
        <v>1029</v>
      </c>
      <c r="O80" s="170" t="s">
        <v>1030</v>
      </c>
      <c r="P80" s="134" t="s">
        <v>1031</v>
      </c>
      <c r="Q80" s="170" t="s">
        <v>1032</v>
      </c>
      <c r="R80" s="134" t="s">
        <v>1033</v>
      </c>
      <c r="S80" s="134" t="s">
        <v>1034</v>
      </c>
      <c r="T80" s="128" t="s">
        <v>1035</v>
      </c>
      <c r="U80" s="171"/>
      <c r="V80" s="171"/>
      <c r="W80" s="171"/>
      <c r="X80" s="171"/>
    </row>
    <row r="81" ht="22.5" customHeight="1">
      <c r="A81" s="172"/>
      <c r="B81" s="40">
        <v>79.0</v>
      </c>
      <c r="C81" s="40"/>
      <c r="D81" s="40" t="s">
        <v>74</v>
      </c>
      <c r="E81" s="173" t="s">
        <v>1036</v>
      </c>
      <c r="F81" s="40" t="s">
        <v>76</v>
      </c>
      <c r="G81" s="40" t="s">
        <v>209</v>
      </c>
      <c r="H81" s="44" t="s">
        <v>1037</v>
      </c>
      <c r="I81" s="174" t="s">
        <v>632</v>
      </c>
      <c r="J81" s="174" t="s">
        <v>1038</v>
      </c>
      <c r="K81" s="175" t="s">
        <v>1039</v>
      </c>
      <c r="L81" s="175" t="s">
        <v>1040</v>
      </c>
      <c r="M81" s="175" t="s">
        <v>1041</v>
      </c>
      <c r="N81" s="174" t="s">
        <v>1042</v>
      </c>
      <c r="O81" s="174" t="s">
        <v>1043</v>
      </c>
      <c r="P81" s="174" t="s">
        <v>1044</v>
      </c>
      <c r="Q81" s="176" t="s">
        <v>1045</v>
      </c>
      <c r="R81" s="174" t="s">
        <v>1046</v>
      </c>
      <c r="S81" s="174" t="s">
        <v>1047</v>
      </c>
      <c r="T81" s="141"/>
      <c r="U81" s="142"/>
      <c r="V81" s="142"/>
      <c r="W81" s="142"/>
      <c r="X81" s="142"/>
    </row>
    <row r="82" ht="22.5" customHeight="1">
      <c r="A82" s="12"/>
      <c r="B82" s="7">
        <v>80.0</v>
      </c>
      <c r="C82" s="12"/>
      <c r="D82" s="7" t="s">
        <v>529</v>
      </c>
      <c r="E82" s="7" t="s">
        <v>1048</v>
      </c>
      <c r="F82" s="7" t="s">
        <v>561</v>
      </c>
      <c r="G82" s="7" t="s">
        <v>32</v>
      </c>
      <c r="H82" s="14" t="s">
        <v>1049</v>
      </c>
      <c r="I82" s="177" t="s">
        <v>1050</v>
      </c>
      <c r="J82" s="177" t="s">
        <v>1051</v>
      </c>
      <c r="K82" s="177" t="s">
        <v>1052</v>
      </c>
      <c r="L82" s="178" t="s">
        <v>1053</v>
      </c>
      <c r="M82" s="178" t="s">
        <v>1054</v>
      </c>
      <c r="N82" s="178" t="s">
        <v>1055</v>
      </c>
      <c r="O82" s="178" t="s">
        <v>1056</v>
      </c>
      <c r="P82" s="178" t="s">
        <v>1057</v>
      </c>
      <c r="Q82" s="179" t="s">
        <v>1058</v>
      </c>
      <c r="R82" s="178" t="s">
        <v>1059</v>
      </c>
      <c r="S82" s="178" t="s">
        <v>782</v>
      </c>
      <c r="T82" s="178" t="s">
        <v>1060</v>
      </c>
      <c r="U82" s="180"/>
      <c r="V82" s="180"/>
      <c r="W82" s="180"/>
      <c r="X82" s="180"/>
    </row>
    <row r="83" ht="22.5" customHeight="1">
      <c r="A83" s="7"/>
      <c r="B83" s="7">
        <v>81.0</v>
      </c>
      <c r="C83" s="7"/>
      <c r="D83" s="7" t="s">
        <v>1061</v>
      </c>
      <c r="E83" s="7" t="s">
        <v>1062</v>
      </c>
      <c r="F83" s="7" t="s">
        <v>1063</v>
      </c>
      <c r="G83" s="7" t="s">
        <v>77</v>
      </c>
      <c r="H83" s="14" t="s">
        <v>1064</v>
      </c>
      <c r="I83" s="178" t="s">
        <v>1065</v>
      </c>
      <c r="J83" s="178" t="s">
        <v>1066</v>
      </c>
      <c r="K83" s="178" t="s">
        <v>1067</v>
      </c>
      <c r="L83" s="178" t="s">
        <v>1068</v>
      </c>
      <c r="M83" s="178" t="s">
        <v>1069</v>
      </c>
      <c r="N83" s="178" t="s">
        <v>1070</v>
      </c>
      <c r="O83" s="178" t="s">
        <v>1071</v>
      </c>
      <c r="P83" s="178" t="s">
        <v>1072</v>
      </c>
      <c r="Q83" s="181" t="s">
        <v>1073</v>
      </c>
      <c r="R83" s="178" t="s">
        <v>1074</v>
      </c>
      <c r="S83" s="178" t="s">
        <v>1075</v>
      </c>
      <c r="T83" s="178" t="s">
        <v>1076</v>
      </c>
      <c r="U83" s="180"/>
      <c r="V83" s="180"/>
      <c r="W83" s="180"/>
      <c r="X83" s="180"/>
    </row>
    <row r="84" ht="22.5" customHeight="1">
      <c r="A84" s="128"/>
      <c r="B84" s="129">
        <v>82.0</v>
      </c>
      <c r="C84" s="129"/>
      <c r="D84" s="129" t="s">
        <v>1077</v>
      </c>
      <c r="E84" s="129" t="s">
        <v>1078</v>
      </c>
      <c r="F84" s="129" t="s">
        <v>100</v>
      </c>
      <c r="G84" s="129" t="s">
        <v>32</v>
      </c>
      <c r="H84" s="131" t="s">
        <v>1079</v>
      </c>
      <c r="I84" s="132" t="s">
        <v>1080</v>
      </c>
      <c r="J84" s="132" t="s">
        <v>1081</v>
      </c>
      <c r="K84" s="132" t="s">
        <v>1082</v>
      </c>
      <c r="L84" s="128" t="s">
        <v>1083</v>
      </c>
      <c r="M84" s="128" t="s">
        <v>1084</v>
      </c>
      <c r="N84" s="128" t="s">
        <v>1085</v>
      </c>
      <c r="O84" s="128" t="s">
        <v>1086</v>
      </c>
      <c r="P84" s="128" t="s">
        <v>1087</v>
      </c>
      <c r="Q84" s="133" t="s">
        <v>1088</v>
      </c>
      <c r="R84" s="128" t="s">
        <v>1089</v>
      </c>
      <c r="S84" s="128" t="s">
        <v>1075</v>
      </c>
      <c r="T84" s="128" t="s">
        <v>1090</v>
      </c>
      <c r="U84" s="171"/>
      <c r="V84" s="171"/>
      <c r="W84" s="171"/>
      <c r="X84" s="171"/>
    </row>
    <row r="85" ht="22.5" customHeight="1">
      <c r="A85" s="121"/>
      <c r="B85" s="121">
        <v>83.0</v>
      </c>
      <c r="C85" s="121"/>
      <c r="D85" s="121" t="s">
        <v>1091</v>
      </c>
      <c r="E85" s="121" t="s">
        <v>1092</v>
      </c>
      <c r="F85" s="121" t="s">
        <v>1093</v>
      </c>
      <c r="G85" s="121" t="s">
        <v>1094</v>
      </c>
      <c r="H85" s="123" t="s">
        <v>1095</v>
      </c>
      <c r="I85" s="124" t="s">
        <v>1096</v>
      </c>
      <c r="J85" s="124" t="s">
        <v>1097</v>
      </c>
      <c r="K85" s="124" t="s">
        <v>1098</v>
      </c>
      <c r="L85" s="120" t="s">
        <v>1099</v>
      </c>
      <c r="M85" s="120" t="s">
        <v>1100</v>
      </c>
      <c r="N85" s="120" t="s">
        <v>1101</v>
      </c>
      <c r="O85" s="120" t="s">
        <v>1102</v>
      </c>
      <c r="P85" s="120" t="s">
        <v>1103</v>
      </c>
      <c r="Q85" s="125" t="s">
        <v>1104</v>
      </c>
      <c r="R85" s="120" t="s">
        <v>1105</v>
      </c>
      <c r="S85" s="120" t="s">
        <v>1106</v>
      </c>
      <c r="T85" s="120" t="s">
        <v>1107</v>
      </c>
      <c r="U85" s="182"/>
      <c r="V85" s="182"/>
      <c r="W85" s="182"/>
      <c r="X85" s="182"/>
    </row>
    <row r="86" ht="22.5" customHeight="1">
      <c r="A86" s="129"/>
      <c r="B86" s="129">
        <v>84.0</v>
      </c>
      <c r="C86" s="129"/>
      <c r="D86" s="129" t="s">
        <v>1108</v>
      </c>
      <c r="E86" s="129" t="s">
        <v>1109</v>
      </c>
      <c r="F86" s="129" t="s">
        <v>100</v>
      </c>
      <c r="G86" s="129" t="s">
        <v>32</v>
      </c>
      <c r="H86" s="131" t="s">
        <v>1110</v>
      </c>
      <c r="I86" s="132" t="s">
        <v>675</v>
      </c>
      <c r="J86" s="132" t="s">
        <v>1111</v>
      </c>
      <c r="K86" s="132" t="s">
        <v>1112</v>
      </c>
      <c r="L86" s="128" t="s">
        <v>1113</v>
      </c>
      <c r="M86" s="128" t="s">
        <v>1114</v>
      </c>
      <c r="N86" s="128" t="s">
        <v>1115</v>
      </c>
      <c r="O86" s="128" t="s">
        <v>1116</v>
      </c>
      <c r="P86" s="128" t="s">
        <v>1117</v>
      </c>
      <c r="Q86" s="133" t="s">
        <v>1118</v>
      </c>
      <c r="R86" s="128" t="s">
        <v>1119</v>
      </c>
      <c r="S86" s="128" t="s">
        <v>1120</v>
      </c>
      <c r="T86" s="128" t="s">
        <v>1121</v>
      </c>
      <c r="U86" s="171"/>
      <c r="V86" s="171"/>
      <c r="W86" s="171"/>
      <c r="X86" s="171"/>
    </row>
    <row r="87" ht="22.5" customHeight="1">
      <c r="A87" s="121"/>
      <c r="B87" s="121">
        <v>85.0</v>
      </c>
      <c r="C87" s="121"/>
      <c r="D87" s="121" t="s">
        <v>1122</v>
      </c>
      <c r="E87" s="121" t="s">
        <v>1123</v>
      </c>
      <c r="F87" s="121" t="s">
        <v>76</v>
      </c>
      <c r="G87" s="121" t="s">
        <v>1124</v>
      </c>
      <c r="H87" s="123" t="s">
        <v>1125</v>
      </c>
      <c r="I87" s="124" t="s">
        <v>1126</v>
      </c>
      <c r="J87" s="124" t="s">
        <v>1127</v>
      </c>
      <c r="K87" s="124" t="s">
        <v>1128</v>
      </c>
      <c r="L87" s="120" t="s">
        <v>1129</v>
      </c>
      <c r="M87" s="120" t="s">
        <v>1130</v>
      </c>
      <c r="N87" s="120" t="s">
        <v>1131</v>
      </c>
      <c r="O87" s="120" t="s">
        <v>1132</v>
      </c>
      <c r="P87" s="120" t="s">
        <v>1133</v>
      </c>
      <c r="Q87" s="125" t="s">
        <v>1134</v>
      </c>
      <c r="R87" s="120" t="s">
        <v>1135</v>
      </c>
      <c r="S87" s="120" t="s">
        <v>1136</v>
      </c>
      <c r="T87" s="120" t="s">
        <v>1137</v>
      </c>
      <c r="U87" s="182"/>
      <c r="V87" s="182"/>
      <c r="W87" s="182"/>
      <c r="X87" s="182"/>
    </row>
    <row r="88" ht="22.5" customHeight="1">
      <c r="A88" s="31"/>
      <c r="B88" s="129">
        <v>86.0</v>
      </c>
      <c r="C88" s="145" t="s">
        <v>73</v>
      </c>
      <c r="D88" s="129" t="s">
        <v>1138</v>
      </c>
      <c r="E88" s="129" t="s">
        <v>1139</v>
      </c>
      <c r="F88" s="129" t="s">
        <v>1140</v>
      </c>
      <c r="G88" s="129" t="s">
        <v>32</v>
      </c>
      <c r="H88" s="131" t="s">
        <v>1141</v>
      </c>
      <c r="I88" s="132" t="s">
        <v>1142</v>
      </c>
      <c r="J88" s="132" t="s">
        <v>1143</v>
      </c>
      <c r="K88" s="132" t="s">
        <v>1144</v>
      </c>
      <c r="L88" s="128" t="s">
        <v>1145</v>
      </c>
      <c r="M88" s="128" t="s">
        <v>1146</v>
      </c>
      <c r="N88" s="128" t="s">
        <v>1147</v>
      </c>
      <c r="O88" s="128" t="s">
        <v>1148</v>
      </c>
      <c r="P88" s="128" t="s">
        <v>1149</v>
      </c>
      <c r="Q88" s="170" t="s">
        <v>1150</v>
      </c>
      <c r="R88" s="128" t="s">
        <v>1151</v>
      </c>
      <c r="S88" s="128" t="s">
        <v>1152</v>
      </c>
      <c r="T88" s="128" t="s">
        <v>1153</v>
      </c>
      <c r="U88" s="171"/>
      <c r="V88" s="171"/>
      <c r="W88" s="171"/>
      <c r="X88" s="171"/>
    </row>
    <row r="89" ht="22.5" customHeight="1">
      <c r="A89" s="126"/>
      <c r="B89" s="121">
        <v>87.0</v>
      </c>
      <c r="C89" s="121"/>
      <c r="D89" s="121" t="s">
        <v>1154</v>
      </c>
      <c r="E89" s="183" t="s">
        <v>1155</v>
      </c>
      <c r="F89" s="121" t="s">
        <v>855</v>
      </c>
      <c r="G89" s="121" t="s">
        <v>209</v>
      </c>
      <c r="H89" s="148" t="s">
        <v>1000</v>
      </c>
      <c r="I89" s="121" t="s">
        <v>1156</v>
      </c>
      <c r="J89" s="184" t="s">
        <v>1157</v>
      </c>
      <c r="K89" s="124" t="s">
        <v>1158</v>
      </c>
      <c r="L89" s="124" t="s">
        <v>1159</v>
      </c>
      <c r="M89" s="124" t="s">
        <v>1160</v>
      </c>
      <c r="N89" s="120" t="s">
        <v>1161</v>
      </c>
      <c r="O89" s="120" t="s">
        <v>1162</v>
      </c>
      <c r="P89" s="120" t="s">
        <v>1163</v>
      </c>
      <c r="Q89" s="120" t="s">
        <v>1164</v>
      </c>
      <c r="R89" s="185" t="s">
        <v>1165</v>
      </c>
      <c r="S89" s="186" t="s">
        <v>1166</v>
      </c>
      <c r="T89" s="120" t="s">
        <v>1167</v>
      </c>
      <c r="U89" s="182"/>
      <c r="V89" s="182"/>
      <c r="W89" s="182"/>
      <c r="X89" s="182"/>
    </row>
    <row r="90" ht="22.5" customHeight="1">
      <c r="A90" s="118"/>
      <c r="B90" s="7">
        <v>88.0</v>
      </c>
      <c r="C90" s="7"/>
      <c r="D90" s="7" t="s">
        <v>308</v>
      </c>
      <c r="E90" s="96" t="s">
        <v>1168</v>
      </c>
      <c r="F90" s="7" t="s">
        <v>769</v>
      </c>
      <c r="G90" s="7" t="s">
        <v>1169</v>
      </c>
      <c r="H90" s="14" t="s">
        <v>799</v>
      </c>
      <c r="I90" s="178" t="s">
        <v>632</v>
      </c>
      <c r="J90" s="178" t="s">
        <v>1170</v>
      </c>
      <c r="K90" s="177" t="s">
        <v>1171</v>
      </c>
      <c r="L90" s="177" t="s">
        <v>1172</v>
      </c>
      <c r="M90" s="177" t="s">
        <v>1173</v>
      </c>
      <c r="N90" s="178" t="s">
        <v>1174</v>
      </c>
      <c r="O90" s="178" t="s">
        <v>1175</v>
      </c>
      <c r="P90" s="178" t="s">
        <v>1176</v>
      </c>
      <c r="Q90" s="178" t="s">
        <v>1177</v>
      </c>
      <c r="R90" s="181" t="s">
        <v>1178</v>
      </c>
      <c r="S90" s="178" t="s">
        <v>1179</v>
      </c>
      <c r="T90" s="178" t="s">
        <v>1180</v>
      </c>
      <c r="U90" s="180"/>
      <c r="V90" s="180"/>
      <c r="W90" s="180"/>
      <c r="X90" s="180"/>
    </row>
    <row r="91" ht="22.5" customHeight="1">
      <c r="A91" s="118"/>
      <c r="B91" s="187">
        <v>89.0</v>
      </c>
      <c r="C91" s="188"/>
      <c r="D91" s="187" t="s">
        <v>142</v>
      </c>
      <c r="E91" s="187" t="s">
        <v>1181</v>
      </c>
      <c r="F91" s="187" t="s">
        <v>125</v>
      </c>
      <c r="G91" s="187" t="s">
        <v>77</v>
      </c>
      <c r="H91" s="189" t="s">
        <v>575</v>
      </c>
      <c r="I91" s="187" t="s">
        <v>632</v>
      </c>
      <c r="J91" s="188" t="s">
        <v>1182</v>
      </c>
      <c r="K91" s="188" t="s">
        <v>1183</v>
      </c>
      <c r="L91" s="188" t="s">
        <v>1184</v>
      </c>
      <c r="M91" s="188" t="s">
        <v>1185</v>
      </c>
      <c r="N91" s="188" t="s">
        <v>1186</v>
      </c>
      <c r="O91" s="188" t="s">
        <v>1187</v>
      </c>
      <c r="P91" s="188" t="s">
        <v>1188</v>
      </c>
      <c r="Q91" s="188" t="s">
        <v>1189</v>
      </c>
      <c r="R91" s="190" t="s">
        <v>1190</v>
      </c>
      <c r="S91" s="188" t="s">
        <v>1191</v>
      </c>
      <c r="T91" s="191"/>
      <c r="U91" s="192"/>
      <c r="V91" s="192"/>
      <c r="W91" s="192"/>
      <c r="X91" s="192"/>
    </row>
    <row r="92" ht="22.5" customHeight="1">
      <c r="A92" s="134"/>
      <c r="B92" s="129">
        <v>90.0</v>
      </c>
      <c r="C92" s="7"/>
      <c r="D92" s="129" t="s">
        <v>142</v>
      </c>
      <c r="E92" s="129" t="s">
        <v>1192</v>
      </c>
      <c r="F92" s="129" t="s">
        <v>1193</v>
      </c>
      <c r="G92" s="129" t="s">
        <v>1194</v>
      </c>
      <c r="H92" s="131" t="s">
        <v>799</v>
      </c>
      <c r="I92" s="132" t="s">
        <v>1195</v>
      </c>
      <c r="J92" s="132" t="s">
        <v>1196</v>
      </c>
      <c r="K92" s="132" t="s">
        <v>1197</v>
      </c>
      <c r="L92" s="128" t="s">
        <v>1198</v>
      </c>
      <c r="M92" s="128" t="s">
        <v>1199</v>
      </c>
      <c r="N92" s="128" t="s">
        <v>1200</v>
      </c>
      <c r="O92" s="128" t="s">
        <v>1201</v>
      </c>
      <c r="P92" s="128" t="s">
        <v>1202</v>
      </c>
      <c r="Q92" s="128" t="s">
        <v>1203</v>
      </c>
      <c r="R92" s="128" t="s">
        <v>1204</v>
      </c>
      <c r="S92" s="128" t="s">
        <v>1205</v>
      </c>
      <c r="T92" s="128" t="s">
        <v>1206</v>
      </c>
      <c r="U92" s="171"/>
      <c r="V92" s="171"/>
      <c r="W92" s="171"/>
      <c r="X92" s="171"/>
    </row>
    <row r="93" ht="22.5" customHeight="1">
      <c r="A93" s="126"/>
      <c r="B93" s="121">
        <v>91.0</v>
      </c>
      <c r="C93" s="121"/>
      <c r="D93" s="121" t="s">
        <v>1207</v>
      </c>
      <c r="E93" s="121" t="s">
        <v>1208</v>
      </c>
      <c r="F93" s="121" t="s">
        <v>125</v>
      </c>
      <c r="G93" s="121" t="s">
        <v>1209</v>
      </c>
      <c r="H93" s="123" t="s">
        <v>1000</v>
      </c>
      <c r="I93" s="124" t="s">
        <v>1210</v>
      </c>
      <c r="J93" s="124" t="s">
        <v>1211</v>
      </c>
      <c r="K93" s="124" t="s">
        <v>1212</v>
      </c>
      <c r="L93" s="120" t="s">
        <v>1213</v>
      </c>
      <c r="M93" s="120" t="s">
        <v>1214</v>
      </c>
      <c r="N93" s="120" t="s">
        <v>1215</v>
      </c>
      <c r="O93" s="120" t="s">
        <v>1216</v>
      </c>
      <c r="P93" s="120" t="s">
        <v>1217</v>
      </c>
      <c r="Q93" s="193" t="s">
        <v>1218</v>
      </c>
      <c r="R93" s="120" t="s">
        <v>1219</v>
      </c>
      <c r="S93" s="120" t="s">
        <v>1220</v>
      </c>
      <c r="T93" s="120" t="s">
        <v>1221</v>
      </c>
      <c r="U93" s="182"/>
      <c r="V93" s="182"/>
      <c r="W93" s="182"/>
      <c r="X93" s="182"/>
    </row>
    <row r="94" ht="22.5" customHeight="1">
      <c r="A94" s="134"/>
      <c r="B94" s="129">
        <v>92.0</v>
      </c>
      <c r="C94" s="129"/>
      <c r="D94" s="129" t="s">
        <v>1222</v>
      </c>
      <c r="E94" s="129" t="s">
        <v>1223</v>
      </c>
      <c r="F94" s="129" t="s">
        <v>561</v>
      </c>
      <c r="G94" s="129" t="s">
        <v>32</v>
      </c>
      <c r="H94" s="131" t="s">
        <v>771</v>
      </c>
      <c r="I94" s="132" t="s">
        <v>1224</v>
      </c>
      <c r="J94" s="132" t="s">
        <v>1225</v>
      </c>
      <c r="K94" s="132" t="s">
        <v>1226</v>
      </c>
      <c r="L94" s="128" t="s">
        <v>1227</v>
      </c>
      <c r="M94" s="128" t="s">
        <v>1228</v>
      </c>
      <c r="N94" s="128" t="s">
        <v>1229</v>
      </c>
      <c r="O94" s="128" t="s">
        <v>1230</v>
      </c>
      <c r="P94" s="128" t="s">
        <v>1231</v>
      </c>
      <c r="Q94" s="170" t="s">
        <v>1232</v>
      </c>
      <c r="R94" s="128" t="s">
        <v>1233</v>
      </c>
      <c r="S94" s="128" t="s">
        <v>1234</v>
      </c>
      <c r="T94" s="134"/>
      <c r="U94" s="135"/>
      <c r="V94" s="135"/>
      <c r="W94" s="135"/>
      <c r="X94" s="135"/>
    </row>
    <row r="95" ht="22.5" customHeight="1">
      <c r="A95" s="126"/>
      <c r="B95" s="121">
        <v>93.0</v>
      </c>
      <c r="C95" s="121"/>
      <c r="D95" s="121" t="s">
        <v>142</v>
      </c>
      <c r="E95" s="121" t="s">
        <v>1235</v>
      </c>
      <c r="F95" s="121" t="s">
        <v>125</v>
      </c>
      <c r="G95" s="121" t="s">
        <v>209</v>
      </c>
      <c r="H95" s="123" t="s">
        <v>1236</v>
      </c>
      <c r="I95" s="124" t="s">
        <v>1237</v>
      </c>
      <c r="J95" s="124" t="s">
        <v>1238</v>
      </c>
      <c r="K95" s="124" t="s">
        <v>1239</v>
      </c>
      <c r="L95" s="120" t="s">
        <v>1240</v>
      </c>
      <c r="M95" s="120" t="s">
        <v>1241</v>
      </c>
      <c r="N95" s="120" t="s">
        <v>1242</v>
      </c>
      <c r="O95" s="120" t="s">
        <v>1243</v>
      </c>
      <c r="P95" s="120" t="s">
        <v>1244</v>
      </c>
      <c r="Q95" s="193" t="s">
        <v>1245</v>
      </c>
      <c r="R95" s="120" t="s">
        <v>1246</v>
      </c>
      <c r="S95" s="120" t="s">
        <v>1247</v>
      </c>
      <c r="T95" s="126"/>
      <c r="U95" s="127"/>
      <c r="V95" s="127"/>
      <c r="W95" s="127"/>
      <c r="X95" s="127"/>
    </row>
    <row r="96" ht="22.5" customHeight="1">
      <c r="A96" s="194"/>
      <c r="B96" s="194">
        <v>94.0</v>
      </c>
      <c r="C96" s="195"/>
      <c r="D96" s="194" t="s">
        <v>1248</v>
      </c>
      <c r="E96" s="194" t="s">
        <v>1249</v>
      </c>
      <c r="F96" s="194" t="s">
        <v>125</v>
      </c>
      <c r="G96" s="194" t="s">
        <v>164</v>
      </c>
      <c r="H96" s="196" t="s">
        <v>1250</v>
      </c>
      <c r="I96" s="197" t="s">
        <v>800</v>
      </c>
      <c r="J96" s="197" t="s">
        <v>1251</v>
      </c>
      <c r="K96" s="198" t="s">
        <v>1252</v>
      </c>
      <c r="L96" s="198" t="s">
        <v>1253</v>
      </c>
      <c r="M96" s="198" t="s">
        <v>1254</v>
      </c>
      <c r="N96" s="198" t="s">
        <v>1255</v>
      </c>
      <c r="O96" s="198" t="s">
        <v>1256</v>
      </c>
      <c r="P96" s="198" t="s">
        <v>1257</v>
      </c>
      <c r="Q96" s="199" t="s">
        <v>1258</v>
      </c>
      <c r="R96" s="198" t="s">
        <v>1259</v>
      </c>
      <c r="S96" s="198"/>
      <c r="T96" s="198" t="s">
        <v>1260</v>
      </c>
      <c r="U96" s="200"/>
      <c r="V96" s="200"/>
      <c r="W96" s="200"/>
      <c r="X96" s="200"/>
    </row>
    <row r="97" ht="22.5" customHeight="1">
      <c r="A97" s="121"/>
      <c r="B97" s="121">
        <v>95.0</v>
      </c>
      <c r="C97" s="121"/>
      <c r="D97" s="121" t="s">
        <v>1261</v>
      </c>
      <c r="E97" s="121" t="s">
        <v>1262</v>
      </c>
      <c r="F97" s="121" t="s">
        <v>125</v>
      </c>
      <c r="G97" s="121" t="s">
        <v>1263</v>
      </c>
      <c r="H97" s="201" t="s">
        <v>1264</v>
      </c>
      <c r="I97" s="124" t="s">
        <v>1265</v>
      </c>
      <c r="J97" s="124" t="s">
        <v>1266</v>
      </c>
      <c r="K97" s="124" t="s">
        <v>1267</v>
      </c>
      <c r="L97" s="120" t="s">
        <v>1268</v>
      </c>
      <c r="M97" s="120" t="s">
        <v>1269</v>
      </c>
      <c r="N97" s="120" t="s">
        <v>1270</v>
      </c>
      <c r="O97" s="120" t="s">
        <v>1271</v>
      </c>
      <c r="P97" s="120" t="s">
        <v>1272</v>
      </c>
      <c r="Q97" s="125" t="s">
        <v>1273</v>
      </c>
      <c r="R97" s="120" t="s">
        <v>1274</v>
      </c>
      <c r="S97" s="120"/>
      <c r="T97" s="120" t="s">
        <v>1275</v>
      </c>
      <c r="U97" s="182"/>
      <c r="V97" s="182"/>
      <c r="W97" s="182"/>
      <c r="X97" s="182"/>
    </row>
    <row r="98" ht="22.5" customHeight="1">
      <c r="A98" s="129"/>
      <c r="B98" s="129">
        <v>96.0</v>
      </c>
      <c r="C98" s="129"/>
      <c r="D98" s="129" t="s">
        <v>142</v>
      </c>
      <c r="E98" s="129" t="s">
        <v>1276</v>
      </c>
      <c r="F98" s="129" t="s">
        <v>1277</v>
      </c>
      <c r="G98" s="129" t="s">
        <v>855</v>
      </c>
      <c r="H98" s="131" t="s">
        <v>1278</v>
      </c>
      <c r="I98" s="132" t="s">
        <v>632</v>
      </c>
      <c r="J98" s="132" t="s">
        <v>1279</v>
      </c>
      <c r="K98" s="132" t="s">
        <v>1280</v>
      </c>
      <c r="L98" s="128" t="s">
        <v>1281</v>
      </c>
      <c r="M98" s="128" t="s">
        <v>1282</v>
      </c>
      <c r="N98" s="128" t="s">
        <v>1283</v>
      </c>
      <c r="O98" s="128" t="s">
        <v>1284</v>
      </c>
      <c r="P98" s="128" t="s">
        <v>1285</v>
      </c>
      <c r="Q98" s="133" t="s">
        <v>1286</v>
      </c>
      <c r="R98" s="128"/>
      <c r="S98" s="128"/>
      <c r="T98" s="128"/>
      <c r="U98" s="171"/>
      <c r="V98" s="171"/>
      <c r="W98" s="171"/>
      <c r="X98" s="171"/>
    </row>
    <row r="99" ht="22.5" customHeight="1">
      <c r="A99" s="121"/>
      <c r="B99" s="121">
        <v>97.0</v>
      </c>
      <c r="C99" s="121"/>
      <c r="D99" s="121" t="s">
        <v>1287</v>
      </c>
      <c r="E99" s="121" t="s">
        <v>1288</v>
      </c>
      <c r="F99" s="121" t="s">
        <v>1289</v>
      </c>
      <c r="G99" s="120" t="s">
        <v>378</v>
      </c>
      <c r="H99" s="202" t="s">
        <v>1290</v>
      </c>
      <c r="I99" s="124" t="s">
        <v>800</v>
      </c>
      <c r="J99" s="124" t="s">
        <v>1291</v>
      </c>
      <c r="K99" s="120" t="s">
        <v>1292</v>
      </c>
      <c r="L99" s="120" t="s">
        <v>1293</v>
      </c>
      <c r="M99" s="120" t="s">
        <v>1294</v>
      </c>
      <c r="N99" s="120" t="s">
        <v>1295</v>
      </c>
      <c r="O99" s="120" t="s">
        <v>1296</v>
      </c>
      <c r="P99" s="186" t="s">
        <v>1297</v>
      </c>
      <c r="Q99" s="125" t="s">
        <v>1298</v>
      </c>
      <c r="R99" s="120" t="s">
        <v>1299</v>
      </c>
      <c r="S99" s="120" t="s">
        <v>1</v>
      </c>
      <c r="T99" s="120" t="s">
        <v>1300</v>
      </c>
      <c r="U99" s="182"/>
      <c r="V99" s="182"/>
      <c r="W99" s="182"/>
      <c r="X99" s="182"/>
    </row>
    <row r="100" ht="22.5" customHeight="1">
      <c r="A100" s="129"/>
      <c r="B100" s="129">
        <v>98.0</v>
      </c>
      <c r="C100" s="129"/>
      <c r="D100" s="129" t="s">
        <v>1301</v>
      </c>
      <c r="E100" s="129" t="s">
        <v>1302</v>
      </c>
      <c r="F100" s="129" t="s">
        <v>855</v>
      </c>
      <c r="G100" s="131" t="s">
        <v>1303</v>
      </c>
      <c r="H100" s="203" t="s">
        <v>799</v>
      </c>
      <c r="I100" s="132" t="s">
        <v>800</v>
      </c>
      <c r="J100" s="132" t="s">
        <v>1304</v>
      </c>
      <c r="K100" s="204" t="s">
        <v>1305</v>
      </c>
      <c r="L100" s="204" t="s">
        <v>1306</v>
      </c>
      <c r="M100" s="128" t="s">
        <v>1307</v>
      </c>
      <c r="N100" s="128" t="s">
        <v>1308</v>
      </c>
      <c r="O100" s="128" t="s">
        <v>1309</v>
      </c>
      <c r="P100" s="170" t="s">
        <v>1310</v>
      </c>
      <c r="Q100" s="205" t="s">
        <v>1311</v>
      </c>
      <c r="R100" s="128" t="s">
        <v>1312</v>
      </c>
      <c r="S100" s="128" t="s">
        <v>1</v>
      </c>
      <c r="T100" s="128" t="s">
        <v>1313</v>
      </c>
      <c r="U100" s="171"/>
      <c r="V100" s="171"/>
      <c r="W100" s="171"/>
      <c r="X100" s="171"/>
    </row>
    <row r="101" ht="22.5" customHeight="1">
      <c r="A101" s="120"/>
      <c r="B101" s="121">
        <v>99.0</v>
      </c>
      <c r="C101" s="145" t="s">
        <v>73</v>
      </c>
      <c r="D101" s="206" t="s">
        <v>74</v>
      </c>
      <c r="E101" s="121" t="s">
        <v>1314</v>
      </c>
      <c r="F101" s="121" t="s">
        <v>561</v>
      </c>
      <c r="G101" s="148" t="s">
        <v>32</v>
      </c>
      <c r="H101" s="207" t="s">
        <v>1278</v>
      </c>
      <c r="I101" s="124" t="s">
        <v>1315</v>
      </c>
      <c r="J101" s="124" t="s">
        <v>1316</v>
      </c>
      <c r="K101" s="124" t="s">
        <v>1317</v>
      </c>
      <c r="L101" s="124" t="s">
        <v>1318</v>
      </c>
      <c r="M101" s="120" t="s">
        <v>1319</v>
      </c>
      <c r="N101" s="120" t="s">
        <v>1320</v>
      </c>
      <c r="O101" s="120" t="s">
        <v>1321</v>
      </c>
      <c r="P101" s="120" t="s">
        <v>1322</v>
      </c>
      <c r="Q101" s="185" t="s">
        <v>1323</v>
      </c>
      <c r="R101" s="186" t="s">
        <v>1324</v>
      </c>
      <c r="S101" s="125" t="s">
        <v>1325</v>
      </c>
      <c r="T101" s="120" t="s">
        <v>1326</v>
      </c>
      <c r="U101" s="182"/>
      <c r="V101" s="182"/>
      <c r="W101" s="182"/>
      <c r="X101" s="182"/>
    </row>
    <row r="102" ht="22.5" customHeight="1">
      <c r="A102" s="7"/>
      <c r="B102" s="7">
        <v>100.0</v>
      </c>
      <c r="C102" s="7"/>
      <c r="D102" s="7" t="s">
        <v>74</v>
      </c>
      <c r="E102" s="7" t="s">
        <v>1327</v>
      </c>
      <c r="F102" s="7" t="s">
        <v>855</v>
      </c>
      <c r="G102" s="208" t="s">
        <v>1328</v>
      </c>
      <c r="H102" s="209" t="s">
        <v>1278</v>
      </c>
      <c r="I102" s="10" t="s">
        <v>800</v>
      </c>
      <c r="J102" s="177" t="s">
        <v>1329</v>
      </c>
      <c r="K102" s="177" t="s">
        <v>1330</v>
      </c>
      <c r="L102" s="177" t="s">
        <v>1331</v>
      </c>
      <c r="M102" s="178" t="s">
        <v>1332</v>
      </c>
      <c r="N102" s="178" t="s">
        <v>1333</v>
      </c>
      <c r="O102" s="178" t="s">
        <v>1334</v>
      </c>
      <c r="P102" s="178" t="s">
        <v>1335</v>
      </c>
      <c r="Q102" s="181" t="s">
        <v>1336</v>
      </c>
      <c r="R102" s="178" t="s">
        <v>1337</v>
      </c>
      <c r="S102" s="178" t="s">
        <v>1</v>
      </c>
      <c r="T102" s="178" t="s">
        <v>1338</v>
      </c>
      <c r="U102" s="180"/>
      <c r="V102" s="180"/>
      <c r="W102" s="180"/>
      <c r="X102" s="180"/>
    </row>
    <row r="103" ht="22.5" customHeight="1">
      <c r="A103" s="7"/>
      <c r="B103" s="7">
        <v>101.0</v>
      </c>
      <c r="C103" s="7"/>
      <c r="D103" s="7" t="s">
        <v>1339</v>
      </c>
      <c r="E103" s="7" t="s">
        <v>1340</v>
      </c>
      <c r="F103" s="7" t="s">
        <v>125</v>
      </c>
      <c r="G103" s="7" t="s">
        <v>1328</v>
      </c>
      <c r="H103" s="209" t="s">
        <v>1278</v>
      </c>
      <c r="I103" s="10" t="s">
        <v>800</v>
      </c>
      <c r="J103" s="177" t="s">
        <v>1341</v>
      </c>
      <c r="K103" s="178" t="s">
        <v>1342</v>
      </c>
      <c r="L103" s="178" t="s">
        <v>1343</v>
      </c>
      <c r="M103" s="178" t="s">
        <v>1344</v>
      </c>
      <c r="N103" s="178" t="s">
        <v>1345</v>
      </c>
      <c r="O103" s="178" t="s">
        <v>1346</v>
      </c>
      <c r="P103" s="178" t="s">
        <v>1347</v>
      </c>
      <c r="Q103" s="181" t="s">
        <v>1348</v>
      </c>
      <c r="R103" s="178" t="s">
        <v>1349</v>
      </c>
      <c r="S103" s="178" t="s">
        <v>1</v>
      </c>
      <c r="T103" s="178" t="s">
        <v>1350</v>
      </c>
      <c r="U103" s="180"/>
      <c r="V103" s="180"/>
      <c r="W103" s="180"/>
      <c r="X103" s="180"/>
    </row>
    <row r="104" ht="22.5" customHeight="1">
      <c r="A104" s="210"/>
      <c r="B104" s="7">
        <v>102.0</v>
      </c>
      <c r="C104" s="164"/>
      <c r="D104" s="7" t="s">
        <v>74</v>
      </c>
      <c r="E104" s="7" t="s">
        <v>1351</v>
      </c>
      <c r="F104" s="7" t="s">
        <v>100</v>
      </c>
      <c r="G104" s="7" t="s">
        <v>77</v>
      </c>
      <c r="H104" s="208" t="s">
        <v>1352</v>
      </c>
      <c r="I104" s="10" t="s">
        <v>1353</v>
      </c>
      <c r="J104" s="177" t="s">
        <v>1354</v>
      </c>
      <c r="K104" s="177" t="s">
        <v>1355</v>
      </c>
      <c r="L104" s="178" t="s">
        <v>1356</v>
      </c>
      <c r="M104" s="178" t="s">
        <v>1357</v>
      </c>
      <c r="N104" s="178" t="s">
        <v>1358</v>
      </c>
      <c r="O104" s="178" t="s">
        <v>1359</v>
      </c>
      <c r="P104" s="178" t="s">
        <v>1360</v>
      </c>
      <c r="Q104" s="181" t="s">
        <v>1361</v>
      </c>
      <c r="R104" s="178" t="s">
        <v>1362</v>
      </c>
      <c r="S104" s="178"/>
      <c r="T104" s="178" t="s">
        <v>1363</v>
      </c>
      <c r="U104" s="180"/>
      <c r="V104" s="180"/>
      <c r="W104" s="180"/>
      <c r="X104" s="180"/>
    </row>
    <row r="105" ht="22.5" customHeight="1">
      <c r="A105" s="165"/>
      <c r="B105" s="129">
        <v>103.0</v>
      </c>
      <c r="C105" s="211"/>
      <c r="D105" s="211" t="s">
        <v>74</v>
      </c>
      <c r="E105" s="211" t="s">
        <v>971</v>
      </c>
      <c r="F105" s="211" t="s">
        <v>76</v>
      </c>
      <c r="G105" s="211" t="s">
        <v>1364</v>
      </c>
      <c r="H105" s="212" t="s">
        <v>1365</v>
      </c>
      <c r="I105" s="213" t="s">
        <v>1366</v>
      </c>
      <c r="J105" s="214" t="s">
        <v>1367</v>
      </c>
      <c r="K105" s="214" t="s">
        <v>1368</v>
      </c>
      <c r="L105" s="215" t="s">
        <v>1369</v>
      </c>
      <c r="M105" s="215" t="s">
        <v>1370</v>
      </c>
      <c r="N105" s="215" t="s">
        <v>1371</v>
      </c>
      <c r="O105" s="215" t="s">
        <v>1372</v>
      </c>
      <c r="P105" s="215" t="s">
        <v>1373</v>
      </c>
      <c r="Q105" s="133" t="s">
        <v>1374</v>
      </c>
      <c r="R105" s="215" t="s">
        <v>1375</v>
      </c>
      <c r="S105" s="215" t="s">
        <v>782</v>
      </c>
      <c r="T105" s="215" t="s">
        <v>1376</v>
      </c>
      <c r="U105" s="216"/>
      <c r="V105" s="216"/>
      <c r="W105" s="216"/>
      <c r="X105" s="216"/>
    </row>
    <row r="106" ht="22.5" customHeight="1">
      <c r="A106" s="164"/>
      <c r="B106" s="7">
        <v>104.0</v>
      </c>
      <c r="C106" s="7"/>
      <c r="D106" s="25" t="s">
        <v>142</v>
      </c>
      <c r="E106" s="7" t="s">
        <v>1377</v>
      </c>
      <c r="F106" s="7" t="s">
        <v>1378</v>
      </c>
      <c r="G106" s="7" t="s">
        <v>100</v>
      </c>
      <c r="H106" s="208" t="s">
        <v>1278</v>
      </c>
      <c r="I106" s="10" t="s">
        <v>632</v>
      </c>
      <c r="J106" s="10" t="s">
        <v>1379</v>
      </c>
      <c r="K106" s="177" t="s">
        <v>1380</v>
      </c>
      <c r="L106" s="217" t="s">
        <v>1381</v>
      </c>
      <c r="M106" s="178" t="s">
        <v>1382</v>
      </c>
      <c r="N106" s="178" t="s">
        <v>1383</v>
      </c>
      <c r="O106" s="178" t="s">
        <v>1384</v>
      </c>
      <c r="P106" s="178" t="s">
        <v>1385</v>
      </c>
      <c r="Q106" s="181" t="s">
        <v>1386</v>
      </c>
      <c r="R106" s="178" t="s">
        <v>1387</v>
      </c>
      <c r="S106" s="118"/>
      <c r="T106" s="118"/>
      <c r="U106" s="218"/>
      <c r="V106" s="218"/>
      <c r="W106" s="218"/>
      <c r="X106" s="218"/>
    </row>
    <row r="107" ht="22.5" customHeight="1">
      <c r="A107" s="126"/>
      <c r="B107" s="121">
        <v>105.0</v>
      </c>
      <c r="C107" s="121"/>
      <c r="D107" s="206" t="s">
        <v>1388</v>
      </c>
      <c r="E107" s="121" t="s">
        <v>1389</v>
      </c>
      <c r="F107" s="121" t="s">
        <v>32</v>
      </c>
      <c r="G107" s="121" t="s">
        <v>1390</v>
      </c>
      <c r="H107" s="123" t="s">
        <v>1379</v>
      </c>
      <c r="I107" s="124" t="s">
        <v>632</v>
      </c>
      <c r="J107" s="124" t="s">
        <v>1391</v>
      </c>
      <c r="K107" s="124" t="s">
        <v>1392</v>
      </c>
      <c r="L107" s="120" t="s">
        <v>1393</v>
      </c>
      <c r="M107" s="120" t="s">
        <v>1394</v>
      </c>
      <c r="N107" s="120" t="s">
        <v>1395</v>
      </c>
      <c r="O107" s="120" t="s">
        <v>1396</v>
      </c>
      <c r="P107" s="120" t="s">
        <v>1397</v>
      </c>
      <c r="Q107" s="125" t="s">
        <v>1398</v>
      </c>
      <c r="R107" s="193" t="s">
        <v>1399</v>
      </c>
      <c r="S107" s="120"/>
      <c r="T107" s="126"/>
      <c r="U107" s="127"/>
      <c r="V107" s="127"/>
      <c r="W107" s="127"/>
      <c r="X107" s="127"/>
    </row>
    <row r="108" ht="22.5" customHeight="1">
      <c r="A108" s="126"/>
      <c r="B108" s="121">
        <v>106.0</v>
      </c>
      <c r="C108" s="121"/>
      <c r="D108" s="206" t="s">
        <v>1400</v>
      </c>
      <c r="E108" s="121" t="s">
        <v>1401</v>
      </c>
      <c r="F108" s="121" t="s">
        <v>1402</v>
      </c>
      <c r="G108" s="121" t="s">
        <v>125</v>
      </c>
      <c r="H108" s="123" t="s">
        <v>1279</v>
      </c>
      <c r="I108" s="124" t="s">
        <v>632</v>
      </c>
      <c r="J108" s="124" t="s">
        <v>1403</v>
      </c>
      <c r="K108" s="124" t="s">
        <v>1404</v>
      </c>
      <c r="L108" s="120" t="s">
        <v>1405</v>
      </c>
      <c r="M108" s="120" t="s">
        <v>1406</v>
      </c>
      <c r="N108" s="120" t="s">
        <v>1407</v>
      </c>
      <c r="O108" s="120" t="s">
        <v>1408</v>
      </c>
      <c r="P108" s="120" t="s">
        <v>1409</v>
      </c>
      <c r="Q108" s="125" t="s">
        <v>1410</v>
      </c>
      <c r="R108" s="120"/>
      <c r="S108" s="120"/>
      <c r="T108" s="126"/>
      <c r="U108" s="127"/>
      <c r="V108" s="127"/>
      <c r="W108" s="127"/>
      <c r="X108" s="127"/>
    </row>
    <row r="109">
      <c r="A109" s="219"/>
      <c r="B109" s="148">
        <v>107.0</v>
      </c>
      <c r="C109" s="148"/>
      <c r="D109" s="220" t="s">
        <v>1411</v>
      </c>
      <c r="E109" s="148" t="s">
        <v>1412</v>
      </c>
      <c r="F109" s="148" t="s">
        <v>1413</v>
      </c>
      <c r="G109" s="148" t="s">
        <v>125</v>
      </c>
      <c r="H109" s="148" t="s">
        <v>799</v>
      </c>
      <c r="I109" s="207" t="s">
        <v>632</v>
      </c>
      <c r="J109" s="202" t="s">
        <v>1414</v>
      </c>
      <c r="K109" s="202" t="s">
        <v>1415</v>
      </c>
      <c r="L109" s="123" t="s">
        <v>1416</v>
      </c>
      <c r="M109" s="123" t="s">
        <v>1417</v>
      </c>
      <c r="N109" s="123" t="s">
        <v>1418</v>
      </c>
      <c r="O109" s="123" t="s">
        <v>1419</v>
      </c>
      <c r="P109" s="123" t="s">
        <v>1420</v>
      </c>
      <c r="Q109" s="221" t="s">
        <v>1421</v>
      </c>
      <c r="R109" s="222" t="s">
        <v>1422</v>
      </c>
      <c r="S109" s="123" t="s">
        <v>1423</v>
      </c>
      <c r="T109" s="123"/>
      <c r="U109" s="223"/>
      <c r="V109" s="223"/>
      <c r="W109" s="223"/>
      <c r="X109" s="223"/>
    </row>
    <row r="110">
      <c r="A110" s="224"/>
      <c r="B110" s="146">
        <v>108.0</v>
      </c>
      <c r="C110" s="146"/>
      <c r="D110" s="225" t="s">
        <v>74</v>
      </c>
      <c r="E110" s="146" t="s">
        <v>1424</v>
      </c>
      <c r="F110" s="146" t="s">
        <v>1425</v>
      </c>
      <c r="G110" s="146" t="s">
        <v>125</v>
      </c>
      <c r="H110" s="131" t="s">
        <v>1426</v>
      </c>
      <c r="I110" s="203" t="s">
        <v>1427</v>
      </c>
      <c r="J110" s="203" t="s">
        <v>1428</v>
      </c>
      <c r="K110" s="203" t="s">
        <v>1429</v>
      </c>
      <c r="L110" s="131" t="s">
        <v>1430</v>
      </c>
      <c r="M110" s="131" t="s">
        <v>1431</v>
      </c>
      <c r="N110" s="131" t="s">
        <v>1432</v>
      </c>
      <c r="O110" s="131" t="s">
        <v>1433</v>
      </c>
      <c r="P110" s="131" t="s">
        <v>1434</v>
      </c>
      <c r="Q110" s="226" t="s">
        <v>1435</v>
      </c>
      <c r="R110" s="227" t="s">
        <v>1436</v>
      </c>
      <c r="S110" s="131"/>
      <c r="T110" s="131"/>
      <c r="U110" s="228"/>
      <c r="V110" s="228"/>
      <c r="W110" s="228"/>
      <c r="X110" s="228"/>
    </row>
    <row r="111">
      <c r="A111" s="219"/>
      <c r="B111" s="148">
        <v>109.0</v>
      </c>
      <c r="C111" s="148"/>
      <c r="D111" s="148" t="s">
        <v>1437</v>
      </c>
      <c r="E111" s="148" t="s">
        <v>1438</v>
      </c>
      <c r="F111" s="148" t="s">
        <v>1439</v>
      </c>
      <c r="G111" s="148" t="s">
        <v>125</v>
      </c>
      <c r="H111" s="148" t="s">
        <v>1440</v>
      </c>
      <c r="I111" s="207" t="s">
        <v>632</v>
      </c>
      <c r="J111" s="207" t="s">
        <v>1379</v>
      </c>
      <c r="K111" s="202" t="s">
        <v>1441</v>
      </c>
      <c r="L111" s="123" t="s">
        <v>1442</v>
      </c>
      <c r="M111" s="123" t="s">
        <v>1443</v>
      </c>
      <c r="N111" s="123" t="s">
        <v>1444</v>
      </c>
      <c r="O111" s="123" t="s">
        <v>1445</v>
      </c>
      <c r="P111" s="123" t="s">
        <v>1446</v>
      </c>
      <c r="Q111" s="221" t="s">
        <v>1447</v>
      </c>
      <c r="R111" s="123" t="s">
        <v>1448</v>
      </c>
      <c r="S111" s="123"/>
      <c r="T111" s="123"/>
      <c r="U111" s="223"/>
      <c r="V111" s="223"/>
      <c r="W111" s="223"/>
      <c r="X111" s="223"/>
    </row>
    <row r="112">
      <c r="A112" s="146"/>
      <c r="B112" s="146">
        <v>110.0</v>
      </c>
      <c r="C112" s="146"/>
      <c r="D112" s="146" t="s">
        <v>142</v>
      </c>
      <c r="E112" s="146" t="s">
        <v>1449</v>
      </c>
      <c r="F112" s="146" t="s">
        <v>378</v>
      </c>
      <c r="G112" s="146" t="s">
        <v>125</v>
      </c>
      <c r="H112" s="146" t="s">
        <v>1426</v>
      </c>
      <c r="I112" s="229" t="s">
        <v>632</v>
      </c>
      <c r="J112" s="229" t="s">
        <v>1450</v>
      </c>
      <c r="K112" s="203" t="s">
        <v>1451</v>
      </c>
      <c r="L112" s="131" t="s">
        <v>1452</v>
      </c>
      <c r="M112" s="131" t="s">
        <v>1453</v>
      </c>
      <c r="N112" s="131" t="s">
        <v>1454</v>
      </c>
      <c r="O112" s="131" t="s">
        <v>1455</v>
      </c>
      <c r="P112" s="131" t="s">
        <v>1456</v>
      </c>
      <c r="Q112" s="226" t="s">
        <v>1457</v>
      </c>
      <c r="R112" s="131"/>
      <c r="S112" s="131" t="s">
        <v>1458</v>
      </c>
      <c r="T112" s="131"/>
      <c r="U112" s="228"/>
      <c r="V112" s="228"/>
      <c r="W112" s="228"/>
      <c r="X112" s="228"/>
    </row>
    <row r="113">
      <c r="A113" s="123"/>
      <c r="B113" s="148">
        <v>111.0</v>
      </c>
      <c r="C113" s="148"/>
      <c r="D113" s="220" t="s">
        <v>1459</v>
      </c>
      <c r="E113" s="148" t="s">
        <v>1460</v>
      </c>
      <c r="F113" s="230" t="s">
        <v>561</v>
      </c>
      <c r="G113" s="148" t="s">
        <v>32</v>
      </c>
      <c r="H113" s="207" t="s">
        <v>1278</v>
      </c>
      <c r="I113" s="207" t="s">
        <v>1315</v>
      </c>
      <c r="J113" s="202" t="s">
        <v>1461</v>
      </c>
      <c r="K113" s="202" t="s">
        <v>1462</v>
      </c>
      <c r="L113" s="202" t="s">
        <v>1463</v>
      </c>
      <c r="M113" s="123" t="s">
        <v>1464</v>
      </c>
      <c r="N113" s="123" t="s">
        <v>1465</v>
      </c>
      <c r="O113" s="123" t="s">
        <v>1466</v>
      </c>
      <c r="P113" s="221" t="s">
        <v>1467</v>
      </c>
      <c r="Q113" s="123" t="s">
        <v>1468</v>
      </c>
      <c r="R113" s="222" t="s">
        <v>1469</v>
      </c>
      <c r="S113" s="123" t="s">
        <v>1</v>
      </c>
      <c r="T113" s="223" t="s">
        <v>1470</v>
      </c>
    </row>
    <row r="114">
      <c r="A114" s="123"/>
      <c r="B114" s="148">
        <v>112.0</v>
      </c>
      <c r="C114" s="148"/>
      <c r="D114" s="220" t="s">
        <v>308</v>
      </c>
      <c r="E114" s="148" t="s">
        <v>1471</v>
      </c>
      <c r="F114" s="230" t="s">
        <v>1472</v>
      </c>
      <c r="G114" s="148" t="s">
        <v>1473</v>
      </c>
      <c r="H114" s="207" t="s">
        <v>799</v>
      </c>
      <c r="I114" s="207" t="s">
        <v>800</v>
      </c>
      <c r="J114" s="202" t="s">
        <v>1474</v>
      </c>
      <c r="K114" s="202" t="s">
        <v>1475</v>
      </c>
      <c r="L114" s="202" t="s">
        <v>1476</v>
      </c>
      <c r="M114" s="123" t="s">
        <v>1477</v>
      </c>
      <c r="N114" s="123" t="s">
        <v>1478</v>
      </c>
      <c r="O114" s="123" t="s">
        <v>1479</v>
      </c>
      <c r="P114" s="123" t="s">
        <v>1480</v>
      </c>
      <c r="Q114" s="231" t="s">
        <v>1481</v>
      </c>
      <c r="R114" s="222" t="s">
        <v>1482</v>
      </c>
      <c r="S114" s="123" t="s">
        <v>1</v>
      </c>
      <c r="T114" s="223" t="s">
        <v>1483</v>
      </c>
    </row>
    <row r="115">
      <c r="A115" s="123"/>
      <c r="B115" s="148">
        <v>113.0</v>
      </c>
      <c r="C115" s="148"/>
      <c r="D115" s="220" t="s">
        <v>1484</v>
      </c>
      <c r="E115" s="148" t="s">
        <v>1485</v>
      </c>
      <c r="F115" s="230" t="s">
        <v>561</v>
      </c>
      <c r="G115" s="148" t="s">
        <v>32</v>
      </c>
      <c r="H115" s="207" t="s">
        <v>1426</v>
      </c>
      <c r="I115" s="207" t="s">
        <v>1315</v>
      </c>
      <c r="J115" s="202" t="s">
        <v>1486</v>
      </c>
      <c r="K115" s="202" t="s">
        <v>1487</v>
      </c>
      <c r="L115" s="202" t="s">
        <v>1488</v>
      </c>
      <c r="M115" s="123" t="s">
        <v>1489</v>
      </c>
      <c r="N115" s="123" t="s">
        <v>1490</v>
      </c>
      <c r="O115" s="123" t="s">
        <v>1491</v>
      </c>
      <c r="P115" s="123" t="s">
        <v>1492</v>
      </c>
      <c r="Q115" s="221" t="s">
        <v>1493</v>
      </c>
      <c r="R115" s="222" t="s">
        <v>1494</v>
      </c>
      <c r="S115" s="221" t="s">
        <v>1495</v>
      </c>
      <c r="T115" s="223" t="s">
        <v>1496</v>
      </c>
    </row>
    <row r="116">
      <c r="A116" s="123"/>
      <c r="B116" s="148">
        <v>114.0</v>
      </c>
      <c r="C116" s="148"/>
      <c r="D116" s="220" t="s">
        <v>1497</v>
      </c>
      <c r="E116" s="148" t="s">
        <v>1498</v>
      </c>
      <c r="F116" s="230" t="s">
        <v>125</v>
      </c>
      <c r="G116" s="148" t="s">
        <v>1499</v>
      </c>
      <c r="H116" s="207" t="s">
        <v>799</v>
      </c>
      <c r="I116" s="207" t="s">
        <v>1500</v>
      </c>
      <c r="J116" s="202" t="s">
        <v>1501</v>
      </c>
      <c r="K116" s="202" t="s">
        <v>1502</v>
      </c>
      <c r="L116" s="202" t="s">
        <v>1503</v>
      </c>
      <c r="M116" s="123" t="s">
        <v>1504</v>
      </c>
      <c r="N116" s="123" t="s">
        <v>1505</v>
      </c>
      <c r="O116" s="123" t="s">
        <v>1506</v>
      </c>
      <c r="P116" s="123" t="s">
        <v>1507</v>
      </c>
      <c r="Q116" s="221" t="s">
        <v>1508</v>
      </c>
      <c r="R116" s="222" t="s">
        <v>1509</v>
      </c>
      <c r="S116" s="123" t="s">
        <v>1</v>
      </c>
      <c r="T116" s="223" t="s">
        <v>1510</v>
      </c>
    </row>
    <row r="117">
      <c r="A117" s="123"/>
      <c r="B117" s="148">
        <v>115.0</v>
      </c>
      <c r="C117" s="148"/>
      <c r="D117" s="220" t="s">
        <v>1511</v>
      </c>
      <c r="E117" s="148" t="s">
        <v>1512</v>
      </c>
      <c r="F117" s="230" t="s">
        <v>100</v>
      </c>
      <c r="G117" s="148" t="s">
        <v>32</v>
      </c>
      <c r="H117" s="207" t="s">
        <v>1426</v>
      </c>
      <c r="I117" s="207" t="s">
        <v>1513</v>
      </c>
      <c r="J117" s="202" t="s">
        <v>1514</v>
      </c>
      <c r="K117" s="202" t="s">
        <v>1515</v>
      </c>
      <c r="L117" s="202" t="s">
        <v>1516</v>
      </c>
      <c r="M117" s="123" t="s">
        <v>1517</v>
      </c>
      <c r="N117" s="123" t="s">
        <v>1518</v>
      </c>
      <c r="O117" s="123" t="s">
        <v>1519</v>
      </c>
      <c r="P117" s="123" t="s">
        <v>1520</v>
      </c>
      <c r="Q117" s="231" t="s">
        <v>1521</v>
      </c>
      <c r="R117" s="222" t="s">
        <v>1522</v>
      </c>
      <c r="S117" s="123" t="s">
        <v>1</v>
      </c>
      <c r="T117" s="223" t="s">
        <v>1523</v>
      </c>
    </row>
    <row r="118">
      <c r="A118" s="123"/>
      <c r="B118" s="148">
        <v>116.0</v>
      </c>
      <c r="C118" s="148"/>
      <c r="D118" s="220" t="s">
        <v>308</v>
      </c>
      <c r="E118" s="148" t="s">
        <v>1524</v>
      </c>
      <c r="F118" s="230" t="s">
        <v>125</v>
      </c>
      <c r="G118" s="148" t="s">
        <v>1525</v>
      </c>
      <c r="H118" s="207" t="s">
        <v>799</v>
      </c>
      <c r="I118" s="207" t="s">
        <v>1500</v>
      </c>
      <c r="J118" s="202" t="s">
        <v>1526</v>
      </c>
      <c r="K118" s="202" t="s">
        <v>1527</v>
      </c>
      <c r="L118" s="202" t="s">
        <v>1528</v>
      </c>
      <c r="M118" s="123" t="s">
        <v>1529</v>
      </c>
      <c r="N118" s="123" t="s">
        <v>1530</v>
      </c>
      <c r="O118" s="123" t="s">
        <v>1531</v>
      </c>
      <c r="P118" s="123" t="s">
        <v>1532</v>
      </c>
      <c r="Q118" s="231" t="s">
        <v>1533</v>
      </c>
      <c r="R118" s="222" t="s">
        <v>1534</v>
      </c>
      <c r="S118" s="123" t="s">
        <v>1</v>
      </c>
      <c r="T118" s="223" t="s">
        <v>1535</v>
      </c>
    </row>
    <row r="119">
      <c r="A119" s="232"/>
      <c r="B119" s="148">
        <v>117.0</v>
      </c>
      <c r="C119" s="148"/>
      <c r="D119" s="148" t="s">
        <v>1536</v>
      </c>
      <c r="E119" s="220" t="s">
        <v>1537</v>
      </c>
      <c r="F119" s="148" t="s">
        <v>1538</v>
      </c>
      <c r="G119" s="230" t="s">
        <v>1539</v>
      </c>
      <c r="H119" s="148" t="s">
        <v>74</v>
      </c>
      <c r="I119" s="207" t="s">
        <v>1500</v>
      </c>
      <c r="J119" s="207" t="s">
        <v>1540</v>
      </c>
      <c r="K119" s="202" t="s">
        <v>1541</v>
      </c>
      <c r="L119" s="202" t="s">
        <v>1542</v>
      </c>
      <c r="M119" s="202" t="s">
        <v>1543</v>
      </c>
      <c r="N119" s="123" t="s">
        <v>1544</v>
      </c>
      <c r="O119" s="123" t="s">
        <v>1545</v>
      </c>
      <c r="P119" s="123" t="s">
        <v>1546</v>
      </c>
      <c r="Q119" s="233" t="s">
        <v>1547</v>
      </c>
      <c r="R119" s="231" t="s">
        <v>1548</v>
      </c>
      <c r="S119" s="222" t="s">
        <v>1549</v>
      </c>
      <c r="T119" s="123" t="s">
        <v>1550</v>
      </c>
      <c r="U119" s="223"/>
      <c r="V119" s="223"/>
      <c r="W119" s="223"/>
      <c r="X119" s="223"/>
    </row>
    <row r="120">
      <c r="A120" s="123"/>
      <c r="B120" s="148">
        <v>118.0</v>
      </c>
      <c r="D120" s="234" t="s">
        <v>308</v>
      </c>
      <c r="E120" s="148" t="s">
        <v>1551</v>
      </c>
      <c r="F120" s="220" t="s">
        <v>100</v>
      </c>
      <c r="G120" s="148" t="s">
        <v>32</v>
      </c>
      <c r="H120" s="235" t="s">
        <v>799</v>
      </c>
      <c r="I120" s="148" t="s">
        <v>1500</v>
      </c>
      <c r="J120" s="207" t="s">
        <v>1552</v>
      </c>
      <c r="K120" s="207" t="s">
        <v>1553</v>
      </c>
      <c r="L120" s="202" t="s">
        <v>1554</v>
      </c>
      <c r="M120" s="202" t="s">
        <v>1555</v>
      </c>
      <c r="N120" s="202" t="s">
        <v>1556</v>
      </c>
      <c r="O120" s="123" t="s">
        <v>1557</v>
      </c>
      <c r="P120" s="123" t="s">
        <v>1558</v>
      </c>
      <c r="Q120" s="123" t="s">
        <v>1559</v>
      </c>
      <c r="R120" s="123" t="s">
        <v>1560</v>
      </c>
      <c r="S120" s="231" t="s">
        <v>1549</v>
      </c>
      <c r="T120" s="222" t="s">
        <v>1561</v>
      </c>
      <c r="U120" s="123"/>
      <c r="V120" s="223"/>
      <c r="W120" s="223"/>
      <c r="X120" s="223"/>
    </row>
    <row r="121">
      <c r="A121" s="232"/>
      <c r="B121" s="148">
        <v>119.0</v>
      </c>
      <c r="C121" s="148"/>
      <c r="D121" s="148" t="s">
        <v>1562</v>
      </c>
      <c r="E121" s="220" t="s">
        <v>1563</v>
      </c>
      <c r="F121" s="148" t="s">
        <v>125</v>
      </c>
      <c r="G121" s="235" t="s">
        <v>209</v>
      </c>
      <c r="H121" s="148" t="s">
        <v>799</v>
      </c>
      <c r="I121" s="207" t="s">
        <v>1500</v>
      </c>
      <c r="J121" s="207" t="s">
        <v>1564</v>
      </c>
      <c r="K121" s="202" t="s">
        <v>1565</v>
      </c>
      <c r="L121" s="202" t="s">
        <v>1566</v>
      </c>
      <c r="M121" s="202" t="s">
        <v>1567</v>
      </c>
      <c r="N121" s="123" t="s">
        <v>1568</v>
      </c>
      <c r="O121" s="123" t="s">
        <v>1569</v>
      </c>
      <c r="P121" s="123" t="s">
        <v>1570</v>
      </c>
      <c r="Q121" s="221" t="s">
        <v>1571</v>
      </c>
      <c r="R121" s="231" t="s">
        <v>1572</v>
      </c>
      <c r="S121" s="222" t="s">
        <v>1573</v>
      </c>
      <c r="T121" s="123" t="s">
        <v>1574</v>
      </c>
      <c r="U121" s="223"/>
      <c r="V121" s="223"/>
      <c r="W121" s="223"/>
      <c r="X121" s="223"/>
    </row>
    <row r="122">
      <c r="A122" s="236"/>
      <c r="B122" s="208">
        <v>120.0</v>
      </c>
      <c r="C122" s="208"/>
      <c r="D122" s="208" t="s">
        <v>1511</v>
      </c>
      <c r="E122" s="208" t="s">
        <v>1512</v>
      </c>
      <c r="F122" s="208" t="s">
        <v>100</v>
      </c>
      <c r="G122" s="208" t="s">
        <v>32</v>
      </c>
      <c r="H122" s="208" t="s">
        <v>1575</v>
      </c>
      <c r="I122" s="209" t="s">
        <v>1576</v>
      </c>
      <c r="J122" s="237" t="s">
        <v>1577</v>
      </c>
      <c r="K122" s="237" t="s">
        <v>1578</v>
      </c>
      <c r="L122" s="237" t="s">
        <v>1579</v>
      </c>
      <c r="M122" s="237" t="s">
        <v>1580</v>
      </c>
      <c r="N122" s="14" t="s">
        <v>1581</v>
      </c>
      <c r="O122" s="14" t="s">
        <v>1582</v>
      </c>
      <c r="P122" s="14" t="s">
        <v>1583</v>
      </c>
      <c r="Q122" s="238" t="s">
        <v>1584</v>
      </c>
      <c r="R122" s="14" t="s">
        <v>1585</v>
      </c>
      <c r="S122" s="14" t="s">
        <v>1586</v>
      </c>
      <c r="T122" s="14" t="s">
        <v>1587</v>
      </c>
      <c r="U122" s="123"/>
      <c r="V122" s="123"/>
      <c r="W122" s="223"/>
      <c r="X122" s="223"/>
    </row>
    <row r="123">
      <c r="A123" s="239"/>
      <c r="B123" s="239">
        <v>121.0</v>
      </c>
      <c r="C123" s="240" t="s">
        <v>73</v>
      </c>
      <c r="D123" s="208" t="s">
        <v>308</v>
      </c>
      <c r="E123" s="208" t="s">
        <v>1588</v>
      </c>
      <c r="F123" s="208" t="s">
        <v>880</v>
      </c>
      <c r="G123" s="208" t="s">
        <v>1589</v>
      </c>
      <c r="H123" s="208" t="s">
        <v>1590</v>
      </c>
      <c r="I123" s="208" t="s">
        <v>1591</v>
      </c>
      <c r="J123" s="237" t="s">
        <v>1592</v>
      </c>
      <c r="K123" s="237" t="s">
        <v>1593</v>
      </c>
      <c r="L123" s="237" t="s">
        <v>1594</v>
      </c>
      <c r="M123" s="237" t="s">
        <v>1595</v>
      </c>
      <c r="N123" s="237" t="s">
        <v>1596</v>
      </c>
      <c r="O123" s="14" t="s">
        <v>1597</v>
      </c>
      <c r="P123" s="14" t="s">
        <v>1598</v>
      </c>
      <c r="Q123" s="238" t="s">
        <v>1599</v>
      </c>
      <c r="R123" s="14" t="s">
        <v>1600</v>
      </c>
      <c r="S123" s="14" t="s">
        <v>1601</v>
      </c>
      <c r="T123" s="14" t="s">
        <v>1602</v>
      </c>
      <c r="U123" s="123"/>
      <c r="V123" s="123"/>
      <c r="W123" s="123"/>
      <c r="X123" s="223"/>
    </row>
    <row r="124">
      <c r="A124" s="241"/>
      <c r="B124" s="148">
        <v>122.0</v>
      </c>
      <c r="D124" s="241" t="s">
        <v>308</v>
      </c>
      <c r="E124" s="241" t="s">
        <v>1603</v>
      </c>
      <c r="F124" s="241" t="s">
        <v>1604</v>
      </c>
      <c r="G124" s="241" t="s">
        <v>77</v>
      </c>
      <c r="H124" s="241" t="s">
        <v>771</v>
      </c>
      <c r="I124" s="241" t="s">
        <v>1605</v>
      </c>
      <c r="J124" s="242" t="s">
        <v>1606</v>
      </c>
      <c r="K124" s="243" t="s">
        <v>1607</v>
      </c>
      <c r="L124" s="243" t="s">
        <v>1608</v>
      </c>
      <c r="M124" s="243" t="s">
        <v>1609</v>
      </c>
      <c r="N124" s="243" t="s">
        <v>1610</v>
      </c>
      <c r="O124" s="244" t="s">
        <v>1611</v>
      </c>
      <c r="P124" s="244" t="s">
        <v>1612</v>
      </c>
      <c r="Q124" s="221" t="s">
        <v>1613</v>
      </c>
      <c r="R124" s="244" t="s">
        <v>1614</v>
      </c>
      <c r="S124" s="244" t="s">
        <v>1615</v>
      </c>
      <c r="T124" s="244" t="s">
        <v>1616</v>
      </c>
      <c r="U124" s="244"/>
      <c r="V124" s="244"/>
      <c r="W124" s="232"/>
      <c r="X124" s="245"/>
    </row>
    <row r="125">
      <c r="A125" s="208"/>
      <c r="B125" s="208">
        <v>123.0</v>
      </c>
      <c r="D125" s="208" t="s">
        <v>74</v>
      </c>
      <c r="E125" s="208" t="s">
        <v>1617</v>
      </c>
      <c r="F125" s="208" t="s">
        <v>1618</v>
      </c>
      <c r="G125" s="208" t="s">
        <v>1619</v>
      </c>
      <c r="H125" s="208" t="s">
        <v>1620</v>
      </c>
      <c r="I125" s="208" t="s">
        <v>1621</v>
      </c>
      <c r="J125" s="209" t="s">
        <v>1622</v>
      </c>
      <c r="K125" s="237" t="s">
        <v>1623</v>
      </c>
      <c r="L125" s="237" t="s">
        <v>1624</v>
      </c>
      <c r="M125" s="237" t="s">
        <v>1625</v>
      </c>
      <c r="N125" s="237" t="s">
        <v>1626</v>
      </c>
      <c r="O125" s="14" t="s">
        <v>1627</v>
      </c>
      <c r="P125" s="14" t="s">
        <v>1628</v>
      </c>
      <c r="Q125" s="238" t="s">
        <v>1629</v>
      </c>
      <c r="R125" s="14" t="s">
        <v>1630</v>
      </c>
      <c r="S125" s="14" t="s">
        <v>1053</v>
      </c>
      <c r="T125" s="14" t="s">
        <v>1631</v>
      </c>
      <c r="U125" s="123"/>
      <c r="V125" s="123"/>
      <c r="W125" s="123"/>
      <c r="X125" s="223"/>
    </row>
    <row r="126">
      <c r="A126" s="208"/>
      <c r="B126" s="208">
        <v>124.0</v>
      </c>
      <c r="D126" s="208" t="s">
        <v>142</v>
      </c>
      <c r="E126" s="208" t="s">
        <v>1632</v>
      </c>
      <c r="F126" s="208" t="s">
        <v>1633</v>
      </c>
      <c r="G126" s="208" t="s">
        <v>1634</v>
      </c>
      <c r="H126" s="208" t="s">
        <v>1635</v>
      </c>
      <c r="I126" s="208" t="s">
        <v>1636</v>
      </c>
      <c r="J126" s="209" t="s">
        <v>1637</v>
      </c>
      <c r="K126" s="237" t="s">
        <v>1638</v>
      </c>
      <c r="L126" s="237" t="s">
        <v>1639</v>
      </c>
      <c r="M126" s="237" t="s">
        <v>1640</v>
      </c>
      <c r="N126" s="237" t="s">
        <v>1641</v>
      </c>
      <c r="O126" s="14" t="s">
        <v>1642</v>
      </c>
      <c r="P126" s="14" t="s">
        <v>1643</v>
      </c>
      <c r="Q126" s="246" t="s">
        <v>1644</v>
      </c>
      <c r="R126" s="14" t="s">
        <v>1645</v>
      </c>
      <c r="S126" s="14" t="s">
        <v>1646</v>
      </c>
      <c r="T126" s="14" t="s">
        <v>1647</v>
      </c>
      <c r="U126" s="123"/>
      <c r="V126" s="123"/>
      <c r="W126" s="123"/>
      <c r="X126" s="223"/>
    </row>
    <row r="127">
      <c r="A127" s="208"/>
      <c r="B127" s="208">
        <v>125.0</v>
      </c>
      <c r="D127" s="208" t="s">
        <v>1648</v>
      </c>
      <c r="E127" s="208" t="s">
        <v>1649</v>
      </c>
      <c r="F127" s="208" t="s">
        <v>100</v>
      </c>
      <c r="G127" s="208" t="s">
        <v>77</v>
      </c>
      <c r="H127" s="208" t="s">
        <v>771</v>
      </c>
      <c r="I127" s="208" t="s">
        <v>1650</v>
      </c>
      <c r="J127" s="209" t="s">
        <v>1651</v>
      </c>
      <c r="K127" s="237" t="s">
        <v>1652</v>
      </c>
      <c r="L127" s="237" t="s">
        <v>1653</v>
      </c>
      <c r="M127" s="237" t="s">
        <v>1654</v>
      </c>
      <c r="N127" s="237" t="s">
        <v>1655</v>
      </c>
      <c r="O127" s="14" t="s">
        <v>1656</v>
      </c>
      <c r="P127" s="14" t="s">
        <v>1657</v>
      </c>
      <c r="Q127" s="246" t="s">
        <v>1658</v>
      </c>
      <c r="R127" s="14" t="s">
        <v>1659</v>
      </c>
      <c r="S127" s="14" t="s">
        <v>1660</v>
      </c>
      <c r="T127" s="14" t="s">
        <v>1661</v>
      </c>
      <c r="U127" s="123"/>
      <c r="V127" s="123"/>
      <c r="W127" s="123"/>
      <c r="X127" s="223"/>
    </row>
    <row r="128">
      <c r="A128" s="208"/>
      <c r="B128" s="208">
        <v>126.0</v>
      </c>
      <c r="D128" s="208" t="s">
        <v>142</v>
      </c>
      <c r="E128" s="208" t="s">
        <v>1662</v>
      </c>
      <c r="F128" s="208" t="s">
        <v>76</v>
      </c>
      <c r="G128" s="208" t="s">
        <v>209</v>
      </c>
      <c r="H128" s="208" t="s">
        <v>1663</v>
      </c>
      <c r="I128" s="208" t="s">
        <v>1664</v>
      </c>
      <c r="J128" s="209" t="s">
        <v>1665</v>
      </c>
      <c r="K128" s="237" t="s">
        <v>1666</v>
      </c>
      <c r="L128" s="237" t="s">
        <v>1667</v>
      </c>
      <c r="M128" s="237" t="s">
        <v>1668</v>
      </c>
      <c r="N128" s="237" t="s">
        <v>1669</v>
      </c>
      <c r="O128" s="14" t="s">
        <v>1670</v>
      </c>
      <c r="P128" s="14" t="s">
        <v>1671</v>
      </c>
      <c r="Q128" s="246" t="s">
        <v>1672</v>
      </c>
      <c r="R128" s="14" t="s">
        <v>1673</v>
      </c>
      <c r="S128" s="14" t="s">
        <v>1660</v>
      </c>
      <c r="T128" s="14" t="s">
        <v>1674</v>
      </c>
      <c r="U128" s="123"/>
      <c r="V128" s="123"/>
      <c r="W128" s="123"/>
      <c r="X128" s="223"/>
    </row>
    <row r="129">
      <c r="A129" s="208"/>
      <c r="B129" s="208">
        <v>127.0</v>
      </c>
      <c r="D129" s="208" t="s">
        <v>1675</v>
      </c>
      <c r="E129" s="208" t="s">
        <v>1485</v>
      </c>
      <c r="F129" s="208" t="s">
        <v>1140</v>
      </c>
      <c r="G129" s="208" t="s">
        <v>32</v>
      </c>
      <c r="H129" s="208" t="s">
        <v>1676</v>
      </c>
      <c r="I129" s="208" t="s">
        <v>632</v>
      </c>
      <c r="J129" s="208" t="s">
        <v>1677</v>
      </c>
      <c r="K129" s="14" t="s">
        <v>1678</v>
      </c>
      <c r="L129" s="14" t="s">
        <v>1679</v>
      </c>
      <c r="M129" s="14" t="s">
        <v>1680</v>
      </c>
      <c r="N129" s="14" t="s">
        <v>1681</v>
      </c>
      <c r="O129" s="14" t="s">
        <v>1682</v>
      </c>
      <c r="P129" s="14" t="s">
        <v>1683</v>
      </c>
      <c r="Q129" s="246" t="s">
        <v>1684</v>
      </c>
      <c r="R129" s="14" t="s">
        <v>1685</v>
      </c>
      <c r="S129" s="14" t="s">
        <v>1053</v>
      </c>
      <c r="T129" s="14" t="s">
        <v>1686</v>
      </c>
      <c r="U129" s="247"/>
      <c r="V129" s="247"/>
      <c r="W129" s="247"/>
      <c r="X129" s="248"/>
    </row>
    <row r="130">
      <c r="A130" s="208"/>
      <c r="B130" s="208">
        <v>128.0</v>
      </c>
      <c r="D130" s="208" t="s">
        <v>74</v>
      </c>
      <c r="E130" s="208" t="s">
        <v>947</v>
      </c>
      <c r="F130" s="208" t="s">
        <v>1687</v>
      </c>
      <c r="G130" s="208" t="s">
        <v>602</v>
      </c>
      <c r="H130" s="208" t="s">
        <v>771</v>
      </c>
      <c r="I130" s="208" t="s">
        <v>1688</v>
      </c>
      <c r="J130" s="208" t="s">
        <v>1689</v>
      </c>
      <c r="K130" s="14" t="s">
        <v>1690</v>
      </c>
      <c r="L130" s="14" t="s">
        <v>1691</v>
      </c>
      <c r="M130" s="14" t="s">
        <v>1692</v>
      </c>
      <c r="N130" s="14" t="s">
        <v>1693</v>
      </c>
      <c r="O130" s="14" t="s">
        <v>1694</v>
      </c>
      <c r="P130" s="14" t="s">
        <v>1695</v>
      </c>
      <c r="Q130" s="246" t="s">
        <v>1696</v>
      </c>
      <c r="R130" s="14" t="s">
        <v>1697</v>
      </c>
      <c r="S130" s="14" t="s">
        <v>1698</v>
      </c>
      <c r="T130" s="14" t="s">
        <v>1699</v>
      </c>
      <c r="U130" s="247"/>
      <c r="V130" s="247"/>
      <c r="W130" s="247"/>
      <c r="X130" s="248"/>
    </row>
    <row r="131">
      <c r="A131" s="208"/>
      <c r="B131" s="208">
        <v>129.0</v>
      </c>
      <c r="D131" s="208" t="s">
        <v>1497</v>
      </c>
      <c r="E131" s="208" t="s">
        <v>1498</v>
      </c>
      <c r="F131" s="208" t="s">
        <v>1700</v>
      </c>
      <c r="G131" s="208" t="s">
        <v>1701</v>
      </c>
      <c r="H131" s="208" t="s">
        <v>799</v>
      </c>
      <c r="I131" s="208" t="s">
        <v>632</v>
      </c>
      <c r="J131" s="209" t="s">
        <v>1702</v>
      </c>
      <c r="K131" s="237" t="s">
        <v>1703</v>
      </c>
      <c r="L131" s="237" t="s">
        <v>1704</v>
      </c>
      <c r="M131" s="237" t="s">
        <v>1705</v>
      </c>
      <c r="N131" s="237" t="s">
        <v>1706</v>
      </c>
      <c r="O131" s="14" t="s">
        <v>1707</v>
      </c>
      <c r="P131" s="14" t="s">
        <v>1708</v>
      </c>
      <c r="Q131" s="246" t="s">
        <v>1709</v>
      </c>
      <c r="R131" s="14" t="s">
        <v>1710</v>
      </c>
      <c r="S131" s="14" t="s">
        <v>1711</v>
      </c>
      <c r="T131" s="14" t="s">
        <v>1712</v>
      </c>
      <c r="U131" s="123"/>
      <c r="V131" s="123"/>
      <c r="W131" s="123"/>
      <c r="X131" s="223"/>
    </row>
    <row r="132">
      <c r="A132" s="208"/>
      <c r="B132" s="208">
        <v>130.0</v>
      </c>
      <c r="D132" s="208" t="s">
        <v>1713</v>
      </c>
      <c r="E132" s="208" t="s">
        <v>1714</v>
      </c>
      <c r="F132" s="208" t="s">
        <v>76</v>
      </c>
      <c r="G132" s="208" t="s">
        <v>209</v>
      </c>
      <c r="H132" s="208" t="s">
        <v>1715</v>
      </c>
      <c r="I132" s="208" t="s">
        <v>632</v>
      </c>
      <c r="J132" s="209" t="s">
        <v>1716</v>
      </c>
      <c r="K132" s="237" t="s">
        <v>1717</v>
      </c>
      <c r="L132" s="237" t="s">
        <v>1718</v>
      </c>
      <c r="M132" s="237" t="s">
        <v>1719</v>
      </c>
      <c r="N132" s="237" t="s">
        <v>1720</v>
      </c>
      <c r="O132" s="14" t="s">
        <v>1721</v>
      </c>
      <c r="P132" s="14" t="s">
        <v>1722</v>
      </c>
      <c r="Q132" s="246" t="s">
        <v>1723</v>
      </c>
      <c r="R132" s="14" t="s">
        <v>1724</v>
      </c>
      <c r="S132" s="14" t="s">
        <v>782</v>
      </c>
      <c r="T132" s="14" t="s">
        <v>1725</v>
      </c>
      <c r="U132" s="123"/>
      <c r="V132" s="123"/>
      <c r="W132" s="123"/>
      <c r="X132" s="223"/>
    </row>
    <row r="133">
      <c r="A133" s="208"/>
      <c r="B133" s="208">
        <v>131.0</v>
      </c>
      <c r="D133" s="208" t="s">
        <v>1726</v>
      </c>
      <c r="E133" s="208" t="s">
        <v>1727</v>
      </c>
      <c r="F133" s="208" t="s">
        <v>1700</v>
      </c>
      <c r="G133" s="208" t="s">
        <v>209</v>
      </c>
      <c r="H133" s="208" t="s">
        <v>1715</v>
      </c>
      <c r="I133" s="208" t="s">
        <v>632</v>
      </c>
      <c r="J133" s="208" t="s">
        <v>1728</v>
      </c>
      <c r="K133" s="14" t="s">
        <v>1729</v>
      </c>
      <c r="L133" s="14" t="s">
        <v>1730</v>
      </c>
      <c r="M133" s="14" t="s">
        <v>1731</v>
      </c>
      <c r="N133" s="14" t="s">
        <v>1732</v>
      </c>
      <c r="O133" s="14" t="s">
        <v>1733</v>
      </c>
      <c r="P133" s="14" t="s">
        <v>1734</v>
      </c>
      <c r="Q133" s="246" t="s">
        <v>1735</v>
      </c>
      <c r="R133" s="14" t="s">
        <v>1736</v>
      </c>
      <c r="S133" s="14" t="s">
        <v>782</v>
      </c>
      <c r="T133" s="14" t="s">
        <v>1737</v>
      </c>
      <c r="U133" s="247"/>
      <c r="V133" s="247"/>
      <c r="W133" s="247"/>
      <c r="X133" s="248"/>
    </row>
    <row r="134">
      <c r="A134" s="208"/>
      <c r="B134" s="208">
        <v>132.0</v>
      </c>
      <c r="D134" s="208" t="s">
        <v>142</v>
      </c>
      <c r="E134" s="208" t="s">
        <v>1738</v>
      </c>
      <c r="F134" s="208" t="s">
        <v>1739</v>
      </c>
      <c r="G134" s="208" t="s">
        <v>1740</v>
      </c>
      <c r="H134" s="249" t="str">
        <f>+5 años</f>
        <v>#ERROR!</v>
      </c>
      <c r="I134" s="208" t="s">
        <v>632</v>
      </c>
      <c r="J134" s="209" t="s">
        <v>1741</v>
      </c>
      <c r="K134" s="237" t="s">
        <v>1742</v>
      </c>
      <c r="L134" s="237" t="s">
        <v>1743</v>
      </c>
      <c r="M134" s="237" t="s">
        <v>1744</v>
      </c>
      <c r="N134" s="237" t="s">
        <v>1745</v>
      </c>
      <c r="O134" s="14" t="s">
        <v>1746</v>
      </c>
      <c r="P134" s="14" t="s">
        <v>1747</v>
      </c>
      <c r="Q134" s="14" t="s">
        <v>1559</v>
      </c>
      <c r="R134" s="14" t="s">
        <v>1748</v>
      </c>
      <c r="S134" s="14" t="s">
        <v>782</v>
      </c>
      <c r="T134" s="14" t="s">
        <v>1749</v>
      </c>
      <c r="U134" s="123"/>
      <c r="V134" s="123"/>
      <c r="W134" s="123"/>
      <c r="X134" s="223"/>
    </row>
    <row r="135">
      <c r="A135" s="208"/>
      <c r="B135" s="208">
        <v>133.0</v>
      </c>
      <c r="D135" s="208" t="s">
        <v>142</v>
      </c>
      <c r="E135" s="208" t="s">
        <v>1449</v>
      </c>
      <c r="F135" s="208" t="s">
        <v>632</v>
      </c>
      <c r="G135" s="208" t="s">
        <v>1750</v>
      </c>
      <c r="H135" s="208" t="s">
        <v>1751</v>
      </c>
      <c r="I135" s="208" t="s">
        <v>632</v>
      </c>
      <c r="J135" s="208" t="s">
        <v>1752</v>
      </c>
      <c r="K135" s="14" t="s">
        <v>1753</v>
      </c>
      <c r="L135" s="14" t="s">
        <v>1754</v>
      </c>
      <c r="M135" s="14" t="s">
        <v>1755</v>
      </c>
      <c r="N135" s="14" t="s">
        <v>1756</v>
      </c>
      <c r="O135" s="14" t="s">
        <v>1757</v>
      </c>
      <c r="P135" s="14" t="s">
        <v>1758</v>
      </c>
      <c r="Q135" s="14" t="s">
        <v>1559</v>
      </c>
      <c r="R135" s="14" t="s">
        <v>1759</v>
      </c>
      <c r="S135" s="14" t="s">
        <v>1615</v>
      </c>
      <c r="T135" s="14" t="s">
        <v>1760</v>
      </c>
      <c r="U135" s="247"/>
      <c r="V135" s="247"/>
      <c r="W135" s="247"/>
      <c r="X135" s="248"/>
    </row>
    <row r="136">
      <c r="A136" s="208"/>
      <c r="B136" s="208">
        <v>134.0</v>
      </c>
      <c r="D136" s="208" t="s">
        <v>1761</v>
      </c>
      <c r="E136" s="208" t="s">
        <v>1762</v>
      </c>
      <c r="F136" s="208" t="s">
        <v>100</v>
      </c>
      <c r="G136" s="208" t="s">
        <v>32</v>
      </c>
      <c r="H136" s="208" t="s">
        <v>1763</v>
      </c>
      <c r="I136" s="208" t="s">
        <v>632</v>
      </c>
      <c r="J136" s="209" t="s">
        <v>1764</v>
      </c>
      <c r="K136" s="237" t="s">
        <v>1765</v>
      </c>
      <c r="L136" s="237" t="s">
        <v>1766</v>
      </c>
      <c r="M136" s="237" t="s">
        <v>1767</v>
      </c>
      <c r="N136" s="237" t="s">
        <v>1768</v>
      </c>
      <c r="O136" s="14" t="s">
        <v>1769</v>
      </c>
      <c r="P136" s="14" t="s">
        <v>1770</v>
      </c>
      <c r="Q136" s="246" t="s">
        <v>1771</v>
      </c>
      <c r="R136" s="14" t="s">
        <v>1772</v>
      </c>
      <c r="S136" s="14" t="s">
        <v>1615</v>
      </c>
      <c r="T136" s="14" t="s">
        <v>1773</v>
      </c>
      <c r="U136" s="123"/>
      <c r="V136" s="123"/>
      <c r="W136" s="123"/>
      <c r="X136" s="223"/>
    </row>
    <row r="137">
      <c r="A137" s="208"/>
      <c r="B137" s="208">
        <v>135.0</v>
      </c>
      <c r="D137" s="208" t="s">
        <v>1774</v>
      </c>
      <c r="E137" s="250" t="s">
        <v>1775</v>
      </c>
      <c r="F137" s="208" t="s">
        <v>1776</v>
      </c>
      <c r="G137" s="208" t="s">
        <v>32</v>
      </c>
      <c r="H137" s="208" t="s">
        <v>771</v>
      </c>
      <c r="I137" s="208" t="s">
        <v>1777</v>
      </c>
      <c r="J137" s="209" t="s">
        <v>1778</v>
      </c>
      <c r="K137" s="237" t="s">
        <v>1779</v>
      </c>
      <c r="L137" s="237" t="s">
        <v>1780</v>
      </c>
      <c r="M137" s="237" t="s">
        <v>1781</v>
      </c>
      <c r="N137" s="237" t="s">
        <v>1782</v>
      </c>
      <c r="O137" s="14" t="s">
        <v>1783</v>
      </c>
      <c r="P137" s="14" t="s">
        <v>1784</v>
      </c>
      <c r="Q137" s="14" t="s">
        <v>1559</v>
      </c>
      <c r="R137" s="14" t="s">
        <v>1785</v>
      </c>
      <c r="S137" s="14" t="s">
        <v>782</v>
      </c>
      <c r="T137" s="14" t="s">
        <v>1786</v>
      </c>
      <c r="U137" s="123"/>
      <c r="V137" s="123"/>
      <c r="W137" s="123"/>
      <c r="X137" s="223"/>
    </row>
    <row r="138">
      <c r="A138" s="208"/>
      <c r="B138" s="208">
        <v>136.0</v>
      </c>
      <c r="D138" s="208" t="s">
        <v>1787</v>
      </c>
      <c r="E138" s="250" t="s">
        <v>1788</v>
      </c>
      <c r="F138" s="208" t="s">
        <v>1789</v>
      </c>
      <c r="G138" s="208" t="s">
        <v>1790</v>
      </c>
      <c r="H138" s="208" t="s">
        <v>771</v>
      </c>
      <c r="I138" s="208" t="s">
        <v>1791</v>
      </c>
      <c r="J138" s="208" t="s">
        <v>1792</v>
      </c>
      <c r="K138" s="14" t="s">
        <v>1793</v>
      </c>
      <c r="L138" s="14" t="s">
        <v>1794</v>
      </c>
      <c r="M138" s="14" t="s">
        <v>1795</v>
      </c>
      <c r="N138" s="14" t="s">
        <v>1796</v>
      </c>
      <c r="O138" s="14" t="s">
        <v>1797</v>
      </c>
      <c r="P138" s="14" t="s">
        <v>1798</v>
      </c>
      <c r="Q138" s="246" t="s">
        <v>1799</v>
      </c>
      <c r="R138" s="14" t="s">
        <v>1800</v>
      </c>
      <c r="S138" s="14" t="s">
        <v>1801</v>
      </c>
      <c r="T138" s="14" t="s">
        <v>1802</v>
      </c>
      <c r="U138" s="247"/>
      <c r="V138" s="247"/>
      <c r="W138" s="247"/>
      <c r="X138" s="248"/>
    </row>
    <row r="139">
      <c r="A139" s="208"/>
      <c r="B139" s="208">
        <v>137.0</v>
      </c>
      <c r="D139" s="208" t="s">
        <v>1803</v>
      </c>
      <c r="E139" s="208" t="s">
        <v>1804</v>
      </c>
      <c r="F139" s="208" t="s">
        <v>1093</v>
      </c>
      <c r="G139" s="208" t="s">
        <v>32</v>
      </c>
      <c r="H139" s="249" t="str">
        <f>+5 años</f>
        <v>#ERROR!</v>
      </c>
      <c r="I139" s="208" t="s">
        <v>632</v>
      </c>
      <c r="J139" s="209" t="s">
        <v>1805</v>
      </c>
      <c r="K139" s="237" t="s">
        <v>1806</v>
      </c>
      <c r="L139" s="237" t="s">
        <v>1807</v>
      </c>
      <c r="M139" s="237" t="s">
        <v>1808</v>
      </c>
      <c r="N139" s="237" t="s">
        <v>1809</v>
      </c>
      <c r="O139" s="14" t="s">
        <v>1810</v>
      </c>
      <c r="P139" s="14" t="s">
        <v>1811</v>
      </c>
      <c r="Q139" s="246" t="s">
        <v>1812</v>
      </c>
      <c r="R139" s="14" t="s">
        <v>1813</v>
      </c>
      <c r="S139" s="14" t="s">
        <v>1615</v>
      </c>
      <c r="T139" s="14" t="s">
        <v>1814</v>
      </c>
      <c r="U139" s="123"/>
      <c r="V139" s="123"/>
      <c r="W139" s="123"/>
      <c r="X139" s="223"/>
    </row>
    <row r="140">
      <c r="A140" s="208"/>
      <c r="B140" s="208">
        <v>138.0</v>
      </c>
      <c r="D140" s="208" t="s">
        <v>74</v>
      </c>
      <c r="E140" s="208" t="s">
        <v>1815</v>
      </c>
      <c r="F140" s="208" t="s">
        <v>1816</v>
      </c>
      <c r="G140" s="208" t="s">
        <v>1817</v>
      </c>
      <c r="H140" s="249" t="str">
        <f>+3 años</f>
        <v>#ERROR!</v>
      </c>
      <c r="I140" s="208" t="s">
        <v>632</v>
      </c>
      <c r="J140" s="209" t="s">
        <v>1818</v>
      </c>
      <c r="K140" s="237" t="s">
        <v>1819</v>
      </c>
      <c r="L140" s="237" t="s">
        <v>1820</v>
      </c>
      <c r="M140" s="237" t="s">
        <v>1821</v>
      </c>
      <c r="N140" s="237" t="s">
        <v>1822</v>
      </c>
      <c r="O140" s="14" t="s">
        <v>1823</v>
      </c>
      <c r="P140" s="14" t="s">
        <v>1824</v>
      </c>
      <c r="Q140" s="246" t="s">
        <v>1825</v>
      </c>
      <c r="R140" s="14" t="s">
        <v>1826</v>
      </c>
      <c r="S140" s="14" t="s">
        <v>1615</v>
      </c>
      <c r="T140" s="14" t="s">
        <v>1827</v>
      </c>
      <c r="U140" s="123"/>
      <c r="V140" s="123"/>
      <c r="W140" s="123"/>
      <c r="X140" s="223"/>
    </row>
    <row r="141">
      <c r="A141" s="208"/>
      <c r="B141" s="208">
        <v>139.0</v>
      </c>
      <c r="D141" s="208" t="s">
        <v>1828</v>
      </c>
      <c r="E141" s="208" t="s">
        <v>1460</v>
      </c>
      <c r="F141" s="208" t="s">
        <v>1093</v>
      </c>
      <c r="G141" s="208" t="s">
        <v>32</v>
      </c>
      <c r="H141" s="249" t="str">
        <f>+3 años</f>
        <v>#ERROR!</v>
      </c>
      <c r="I141" s="208" t="s">
        <v>632</v>
      </c>
      <c r="J141" s="209" t="s">
        <v>1829</v>
      </c>
      <c r="K141" s="237" t="s">
        <v>1830</v>
      </c>
      <c r="L141" s="237" t="s">
        <v>1831</v>
      </c>
      <c r="M141" s="237" t="s">
        <v>1832</v>
      </c>
      <c r="N141" s="237" t="s">
        <v>1833</v>
      </c>
      <c r="O141" s="14" t="s">
        <v>1834</v>
      </c>
      <c r="P141" s="14" t="s">
        <v>1835</v>
      </c>
      <c r="Q141" s="246" t="s">
        <v>1836</v>
      </c>
      <c r="R141" s="14" t="s">
        <v>1837</v>
      </c>
      <c r="S141" s="14" t="s">
        <v>1615</v>
      </c>
      <c r="T141" s="14" t="s">
        <v>1838</v>
      </c>
      <c r="U141" s="123"/>
      <c r="V141" s="123"/>
      <c r="W141" s="123"/>
      <c r="X141" s="223"/>
    </row>
    <row r="142">
      <c r="A142" s="208"/>
      <c r="B142" s="208">
        <v>140.0</v>
      </c>
      <c r="D142" s="208" t="s">
        <v>1839</v>
      </c>
      <c r="E142" s="208" t="s">
        <v>1840</v>
      </c>
      <c r="F142" s="208" t="s">
        <v>1841</v>
      </c>
      <c r="G142" s="208" t="s">
        <v>32</v>
      </c>
      <c r="H142" s="249" t="str">
        <f>+2 años</f>
        <v>#ERROR!</v>
      </c>
      <c r="I142" s="208" t="s">
        <v>632</v>
      </c>
      <c r="J142" s="209" t="s">
        <v>1842</v>
      </c>
      <c r="K142" s="237" t="s">
        <v>1843</v>
      </c>
      <c r="L142" s="237" t="s">
        <v>1844</v>
      </c>
      <c r="M142" s="237" t="s">
        <v>1845</v>
      </c>
      <c r="N142" s="237" t="s">
        <v>1846</v>
      </c>
      <c r="O142" s="14" t="s">
        <v>1847</v>
      </c>
      <c r="P142" s="14" t="s">
        <v>1848</v>
      </c>
      <c r="Q142" s="14" t="s">
        <v>1559</v>
      </c>
      <c r="R142" s="14" t="s">
        <v>1849</v>
      </c>
      <c r="S142" s="14" t="s">
        <v>782</v>
      </c>
      <c r="T142" s="14" t="s">
        <v>1850</v>
      </c>
      <c r="U142" s="123"/>
      <c r="V142" s="123"/>
      <c r="W142" s="123"/>
      <c r="X142" s="223"/>
    </row>
    <row r="143">
      <c r="A143" s="234"/>
      <c r="B143" s="234">
        <v>141.0</v>
      </c>
      <c r="D143" s="234" t="s">
        <v>1851</v>
      </c>
      <c r="E143" s="234" t="s">
        <v>1852</v>
      </c>
      <c r="F143" s="234" t="s">
        <v>1853</v>
      </c>
      <c r="G143" s="234" t="s">
        <v>1854</v>
      </c>
      <c r="H143" s="234" t="s">
        <v>771</v>
      </c>
      <c r="I143" s="234" t="s">
        <v>632</v>
      </c>
      <c r="J143" s="251" t="s">
        <v>1855</v>
      </c>
      <c r="K143" s="251" t="s">
        <v>1856</v>
      </c>
      <c r="L143" s="251" t="s">
        <v>1857</v>
      </c>
      <c r="M143" s="251" t="s">
        <v>1858</v>
      </c>
      <c r="N143" s="251" t="s">
        <v>1859</v>
      </c>
      <c r="O143" s="234" t="s">
        <v>1860</v>
      </c>
      <c r="P143" s="234" t="s">
        <v>1861</v>
      </c>
      <c r="Q143" s="252" t="s">
        <v>1559</v>
      </c>
      <c r="R143" s="252" t="s">
        <v>1862</v>
      </c>
      <c r="S143" s="252" t="s">
        <v>1646</v>
      </c>
      <c r="T143" s="252" t="s">
        <v>1863</v>
      </c>
      <c r="U143" s="123"/>
      <c r="V143" s="123"/>
      <c r="W143" s="123"/>
      <c r="X143" s="223"/>
    </row>
    <row r="144">
      <c r="A144" s="253"/>
      <c r="B144" s="234">
        <v>142.0</v>
      </c>
      <c r="C144" s="240" t="s">
        <v>73</v>
      </c>
      <c r="D144" s="234" t="s">
        <v>1864</v>
      </c>
      <c r="E144" s="234" t="s">
        <v>1865</v>
      </c>
      <c r="F144" s="234" t="s">
        <v>100</v>
      </c>
      <c r="G144" s="234" t="s">
        <v>32</v>
      </c>
      <c r="H144" s="234" t="s">
        <v>960</v>
      </c>
      <c r="I144" s="234" t="s">
        <v>1866</v>
      </c>
      <c r="J144" s="251" t="s">
        <v>1867</v>
      </c>
      <c r="K144" s="251" t="s">
        <v>1868</v>
      </c>
      <c r="L144" s="251" t="s">
        <v>1869</v>
      </c>
      <c r="M144" s="251" t="s">
        <v>1870</v>
      </c>
      <c r="N144" s="251" t="s">
        <v>1871</v>
      </c>
      <c r="O144" s="234" t="s">
        <v>1872</v>
      </c>
      <c r="P144" s="234" t="s">
        <v>1873</v>
      </c>
      <c r="Q144" s="254" t="s">
        <v>1559</v>
      </c>
      <c r="R144" s="254" t="s">
        <v>1874</v>
      </c>
      <c r="S144" s="254" t="s">
        <v>1875</v>
      </c>
      <c r="T144" s="254" t="s">
        <v>1876</v>
      </c>
      <c r="U144" s="123" t="s">
        <v>1877</v>
      </c>
      <c r="V144" s="123"/>
      <c r="W144" s="123"/>
      <c r="X144" s="223"/>
    </row>
    <row r="145">
      <c r="A145" s="255"/>
      <c r="B145" s="256">
        <v>143.0</v>
      </c>
      <c r="C145" s="257"/>
      <c r="D145" s="256" t="s">
        <v>74</v>
      </c>
      <c r="E145" s="256" t="s">
        <v>1878</v>
      </c>
      <c r="F145" s="256" t="s">
        <v>1093</v>
      </c>
      <c r="G145" s="256" t="s">
        <v>77</v>
      </c>
      <c r="H145" s="256" t="s">
        <v>688</v>
      </c>
      <c r="I145" s="256" t="s">
        <v>1879</v>
      </c>
      <c r="J145" s="258" t="s">
        <v>1880</v>
      </c>
      <c r="K145" s="258" t="s">
        <v>1881</v>
      </c>
      <c r="L145" s="258" t="s">
        <v>1882</v>
      </c>
      <c r="M145" s="258" t="s">
        <v>1883</v>
      </c>
      <c r="N145" s="258" t="s">
        <v>1884</v>
      </c>
      <c r="O145" s="256" t="s">
        <v>1885</v>
      </c>
      <c r="P145" s="256" t="s">
        <v>1886</v>
      </c>
      <c r="Q145" s="256" t="s">
        <v>1559</v>
      </c>
      <c r="R145" s="256" t="s">
        <v>1887</v>
      </c>
      <c r="S145" s="256" t="s">
        <v>1888</v>
      </c>
      <c r="T145" s="256" t="s">
        <v>1889</v>
      </c>
      <c r="U145" s="259"/>
      <c r="V145" s="259"/>
      <c r="W145" s="259"/>
      <c r="X145" s="259"/>
    </row>
    <row r="146">
      <c r="A146" s="256"/>
      <c r="B146" s="256">
        <v>144.0</v>
      </c>
      <c r="C146" s="256"/>
      <c r="D146" s="256" t="s">
        <v>1890</v>
      </c>
      <c r="E146" s="256" t="s">
        <v>1891</v>
      </c>
      <c r="F146" s="256" t="s">
        <v>100</v>
      </c>
      <c r="G146" s="256" t="s">
        <v>77</v>
      </c>
      <c r="H146" s="260" t="str">
        <f>+3 años(Senior)</f>
        <v>#ERROR!</v>
      </c>
      <c r="I146" s="261"/>
      <c r="J146" s="258" t="s">
        <v>1892</v>
      </c>
      <c r="K146" s="258" t="s">
        <v>1893</v>
      </c>
      <c r="L146" s="258" t="s">
        <v>1894</v>
      </c>
      <c r="M146" s="258" t="s">
        <v>1895</v>
      </c>
      <c r="N146" s="256" t="s">
        <v>1896</v>
      </c>
      <c r="O146" s="256" t="s">
        <v>1897</v>
      </c>
      <c r="P146" s="256" t="s">
        <v>1898</v>
      </c>
      <c r="Q146" s="262" t="s">
        <v>1899</v>
      </c>
      <c r="R146" s="263"/>
      <c r="S146" s="263"/>
      <c r="T146" s="256" t="s">
        <v>1900</v>
      </c>
      <c r="U146" s="259"/>
      <c r="V146" s="259"/>
      <c r="W146" s="259"/>
      <c r="X146" s="264"/>
    </row>
    <row r="147">
      <c r="A147" s="256"/>
      <c r="B147" s="256">
        <v>146.0</v>
      </c>
      <c r="C147" s="256"/>
      <c r="D147" s="256" t="s">
        <v>74</v>
      </c>
      <c r="E147" s="256" t="s">
        <v>1901</v>
      </c>
      <c r="F147" s="260"/>
      <c r="G147" s="256" t="s">
        <v>32</v>
      </c>
      <c r="H147" s="260" t="str">
        <f>+2 años</f>
        <v>#ERROR!</v>
      </c>
      <c r="I147" s="261"/>
      <c r="J147" s="258" t="s">
        <v>1902</v>
      </c>
      <c r="K147" s="258" t="s">
        <v>1903</v>
      </c>
      <c r="L147" s="258" t="s">
        <v>1904</v>
      </c>
      <c r="M147" s="258" t="s">
        <v>1905</v>
      </c>
      <c r="N147" s="256" t="s">
        <v>1906</v>
      </c>
      <c r="O147" s="256" t="s">
        <v>1907</v>
      </c>
      <c r="P147" s="256" t="s">
        <v>1908</v>
      </c>
      <c r="Q147" s="262" t="s">
        <v>1909</v>
      </c>
      <c r="R147" s="263"/>
      <c r="S147" s="263"/>
      <c r="T147" s="256" t="s">
        <v>1910</v>
      </c>
      <c r="U147" s="259"/>
      <c r="V147" s="259"/>
      <c r="W147" s="259"/>
      <c r="X147" s="264"/>
    </row>
    <row r="148">
      <c r="A148" s="256"/>
      <c r="B148" s="256">
        <v>146.0</v>
      </c>
      <c r="C148" s="256"/>
      <c r="D148" s="256" t="s">
        <v>74</v>
      </c>
      <c r="E148" s="256" t="s">
        <v>1911</v>
      </c>
      <c r="F148" s="260"/>
      <c r="G148" s="260"/>
      <c r="H148" s="260" t="str">
        <f>+4 años</f>
        <v>#ERROR!</v>
      </c>
      <c r="I148" s="261"/>
      <c r="J148" s="258" t="s">
        <v>1912</v>
      </c>
      <c r="K148" s="258" t="s">
        <v>1913</v>
      </c>
      <c r="L148" s="258" t="s">
        <v>1904</v>
      </c>
      <c r="M148" s="258" t="s">
        <v>1914</v>
      </c>
      <c r="N148" s="256" t="s">
        <v>1915</v>
      </c>
      <c r="O148" s="256" t="s">
        <v>1916</v>
      </c>
      <c r="P148" s="256" t="s">
        <v>1917</v>
      </c>
      <c r="Q148" s="263"/>
      <c r="R148" s="263"/>
      <c r="S148" s="263"/>
      <c r="T148" s="256" t="s">
        <v>1918</v>
      </c>
      <c r="U148" s="259"/>
      <c r="V148" s="259"/>
      <c r="W148" s="259"/>
      <c r="X148" s="264"/>
    </row>
    <row r="149">
      <c r="A149" s="256"/>
      <c r="B149" s="256">
        <v>147.0</v>
      </c>
      <c r="C149" s="256"/>
      <c r="D149" s="256" t="s">
        <v>1919</v>
      </c>
      <c r="E149" s="260"/>
      <c r="F149" s="256" t="s">
        <v>1093</v>
      </c>
      <c r="G149" s="256" t="s">
        <v>1920</v>
      </c>
      <c r="H149" s="260" t="str">
        <f>+3 años</f>
        <v>#ERROR!</v>
      </c>
      <c r="I149" s="261"/>
      <c r="J149" s="258" t="s">
        <v>1921</v>
      </c>
      <c r="K149" s="258" t="s">
        <v>1922</v>
      </c>
      <c r="L149" s="258" t="s">
        <v>1923</v>
      </c>
      <c r="M149" s="258" t="s">
        <v>1924</v>
      </c>
      <c r="N149" s="256" t="s">
        <v>1925</v>
      </c>
      <c r="O149" s="256" t="s">
        <v>1926</v>
      </c>
      <c r="P149" s="256" t="s">
        <v>1927</v>
      </c>
      <c r="Q149" s="262" t="s">
        <v>1928</v>
      </c>
      <c r="R149" s="263"/>
      <c r="S149" s="263"/>
      <c r="T149" s="256" t="s">
        <v>1929</v>
      </c>
      <c r="U149" s="259"/>
      <c r="V149" s="259"/>
      <c r="W149" s="259"/>
      <c r="X149" s="264"/>
    </row>
    <row r="150">
      <c r="A150" s="256"/>
      <c r="B150" s="256">
        <v>148.0</v>
      </c>
      <c r="C150" s="256"/>
      <c r="D150" s="256" t="s">
        <v>499</v>
      </c>
      <c r="E150" s="256" t="s">
        <v>1930</v>
      </c>
      <c r="F150" s="256" t="s">
        <v>880</v>
      </c>
      <c r="G150" s="256" t="s">
        <v>77</v>
      </c>
      <c r="H150" s="256" t="s">
        <v>1931</v>
      </c>
      <c r="I150" s="258" t="s">
        <v>1932</v>
      </c>
      <c r="J150" s="258" t="s">
        <v>1933</v>
      </c>
      <c r="K150" s="258" t="s">
        <v>1934</v>
      </c>
      <c r="L150" s="258" t="s">
        <v>1894</v>
      </c>
      <c r="M150" s="258" t="s">
        <v>1935</v>
      </c>
      <c r="N150" s="256" t="s">
        <v>1936</v>
      </c>
      <c r="O150" s="256" t="s">
        <v>1937</v>
      </c>
      <c r="P150" s="256" t="s">
        <v>1938</v>
      </c>
      <c r="Q150" s="262" t="s">
        <v>1939</v>
      </c>
      <c r="R150" s="263"/>
      <c r="S150" s="263"/>
      <c r="T150" s="256" t="s">
        <v>1940</v>
      </c>
      <c r="U150" s="259"/>
      <c r="V150" s="259"/>
      <c r="W150" s="259"/>
      <c r="X150" s="264"/>
    </row>
    <row r="151">
      <c r="A151" s="256"/>
      <c r="B151" s="256">
        <v>149.0</v>
      </c>
      <c r="C151" s="256"/>
      <c r="D151" s="256" t="s">
        <v>74</v>
      </c>
      <c r="E151" s="256" t="s">
        <v>1941</v>
      </c>
      <c r="F151" s="256" t="s">
        <v>1093</v>
      </c>
      <c r="G151" s="256" t="s">
        <v>77</v>
      </c>
      <c r="H151" s="256" t="s">
        <v>799</v>
      </c>
      <c r="I151" s="258" t="s">
        <v>1942</v>
      </c>
      <c r="J151" s="258" t="s">
        <v>1943</v>
      </c>
      <c r="K151" s="258" t="s">
        <v>1944</v>
      </c>
      <c r="L151" s="258" t="s">
        <v>1894</v>
      </c>
      <c r="M151" s="258" t="s">
        <v>1945</v>
      </c>
      <c r="N151" s="256" t="s">
        <v>1946</v>
      </c>
      <c r="O151" s="256" t="s">
        <v>1947</v>
      </c>
      <c r="P151" s="256" t="s">
        <v>1948</v>
      </c>
      <c r="Q151" s="262" t="s">
        <v>1949</v>
      </c>
      <c r="R151" s="263"/>
      <c r="S151" s="263"/>
      <c r="T151" s="256" t="s">
        <v>1950</v>
      </c>
      <c r="U151" s="259"/>
      <c r="V151" s="259"/>
      <c r="W151" s="259"/>
      <c r="X151" s="264"/>
    </row>
    <row r="152">
      <c r="A152" s="265"/>
      <c r="B152" s="266">
        <v>150.0</v>
      </c>
      <c r="C152" s="267"/>
      <c r="D152" s="267" t="s">
        <v>1951</v>
      </c>
      <c r="E152" s="267" t="s">
        <v>1952</v>
      </c>
      <c r="F152" s="267"/>
      <c r="G152" s="267" t="s">
        <v>32</v>
      </c>
      <c r="H152" s="268"/>
      <c r="I152" s="269"/>
      <c r="J152" s="269" t="s">
        <v>1953</v>
      </c>
      <c r="K152" s="269" t="s">
        <v>1954</v>
      </c>
      <c r="L152" s="269" t="s">
        <v>1894</v>
      </c>
      <c r="M152" s="269" t="s">
        <v>1955</v>
      </c>
      <c r="N152" s="267" t="s">
        <v>1956</v>
      </c>
      <c r="O152" s="267" t="s">
        <v>1957</v>
      </c>
      <c r="P152" s="267" t="s">
        <v>1958</v>
      </c>
      <c r="Q152" s="267"/>
      <c r="R152" s="267"/>
      <c r="S152" s="267"/>
      <c r="T152" s="267" t="s">
        <v>1959</v>
      </c>
      <c r="U152" s="270"/>
      <c r="V152" s="270"/>
      <c r="W152" s="270"/>
      <c r="X152" s="267"/>
    </row>
    <row r="153">
      <c r="A153" s="271"/>
      <c r="B153" s="264">
        <v>151.0</v>
      </c>
      <c r="C153" s="271"/>
      <c r="D153" s="271" t="s">
        <v>1960</v>
      </c>
      <c r="E153" s="271" t="s">
        <v>1961</v>
      </c>
      <c r="F153" s="271" t="s">
        <v>1093</v>
      </c>
      <c r="G153" s="271" t="s">
        <v>1962</v>
      </c>
      <c r="H153" s="271" t="s">
        <v>799</v>
      </c>
      <c r="I153" s="272"/>
      <c r="J153" s="272" t="s">
        <v>1963</v>
      </c>
      <c r="K153" s="272" t="s">
        <v>1964</v>
      </c>
      <c r="L153" s="272" t="s">
        <v>1904</v>
      </c>
      <c r="M153" s="272" t="s">
        <v>1965</v>
      </c>
      <c r="N153" s="271" t="s">
        <v>1966</v>
      </c>
      <c r="O153" s="271" t="s">
        <v>1967</v>
      </c>
      <c r="P153" s="271" t="s">
        <v>1968</v>
      </c>
      <c r="Q153" s="271"/>
      <c r="R153" s="271"/>
      <c r="S153" s="271"/>
      <c r="T153" s="271" t="s">
        <v>1969</v>
      </c>
      <c r="U153" s="273"/>
      <c r="V153" s="273"/>
      <c r="W153" s="273"/>
      <c r="X153" s="271"/>
    </row>
    <row r="154">
      <c r="A154" s="267"/>
      <c r="B154" s="266">
        <v>152.0</v>
      </c>
      <c r="C154" s="267"/>
      <c r="D154" s="267" t="s">
        <v>142</v>
      </c>
      <c r="E154" s="267" t="s">
        <v>1970</v>
      </c>
      <c r="F154" s="267"/>
      <c r="G154" s="267" t="s">
        <v>209</v>
      </c>
      <c r="H154" s="267"/>
      <c r="I154" s="269"/>
      <c r="J154" s="269" t="s">
        <v>1971</v>
      </c>
      <c r="K154" s="269" t="s">
        <v>1972</v>
      </c>
      <c r="L154" s="269" t="s">
        <v>1904</v>
      </c>
      <c r="M154" s="269" t="s">
        <v>1973</v>
      </c>
      <c r="N154" s="267" t="s">
        <v>1974</v>
      </c>
      <c r="O154" s="267" t="s">
        <v>1975</v>
      </c>
      <c r="P154" s="267" t="s">
        <v>1976</v>
      </c>
      <c r="Q154" s="274" t="s">
        <v>1812</v>
      </c>
      <c r="R154" s="267"/>
      <c r="S154" s="267"/>
      <c r="T154" s="267" t="s">
        <v>1977</v>
      </c>
      <c r="U154" s="270"/>
      <c r="V154" s="270"/>
      <c r="W154" s="270"/>
      <c r="X154" s="267"/>
    </row>
    <row r="155">
      <c r="A155" s="275"/>
      <c r="B155" s="264">
        <v>153.0</v>
      </c>
      <c r="C155" s="271"/>
      <c r="D155" s="271" t="s">
        <v>74</v>
      </c>
      <c r="E155" s="271" t="s">
        <v>1978</v>
      </c>
      <c r="F155" s="271"/>
      <c r="G155" s="271" t="s">
        <v>77</v>
      </c>
      <c r="H155" s="276" t="str">
        <f>+4 años</f>
        <v>#ERROR!</v>
      </c>
      <c r="I155" s="272"/>
      <c r="J155" s="272" t="s">
        <v>1979</v>
      </c>
      <c r="K155" s="272" t="s">
        <v>1980</v>
      </c>
      <c r="L155" s="272" t="s">
        <v>1894</v>
      </c>
      <c r="M155" s="272" t="s">
        <v>1981</v>
      </c>
      <c r="N155" s="271" t="s">
        <v>1982</v>
      </c>
      <c r="O155" s="271" t="s">
        <v>1983</v>
      </c>
      <c r="P155" s="271" t="s">
        <v>1984</v>
      </c>
      <c r="Q155" s="277" t="s">
        <v>1985</v>
      </c>
      <c r="R155" s="271"/>
      <c r="S155" s="271"/>
      <c r="T155" s="271" t="s">
        <v>1986</v>
      </c>
      <c r="U155" s="273"/>
      <c r="V155" s="273"/>
      <c r="W155" s="273"/>
      <c r="X155" s="271"/>
    </row>
    <row r="156">
      <c r="A156" s="265"/>
      <c r="B156" s="266">
        <v>154.0</v>
      </c>
      <c r="C156" s="267"/>
      <c r="D156" s="267" t="s">
        <v>1987</v>
      </c>
      <c r="E156" s="267" t="s">
        <v>1498</v>
      </c>
      <c r="F156" s="267" t="s">
        <v>76</v>
      </c>
      <c r="G156" s="267"/>
      <c r="H156" s="268" t="s">
        <v>799</v>
      </c>
      <c r="I156" s="269"/>
      <c r="J156" s="269" t="s">
        <v>1988</v>
      </c>
      <c r="K156" s="269" t="s">
        <v>1989</v>
      </c>
      <c r="L156" s="269" t="s">
        <v>1894</v>
      </c>
      <c r="M156" s="269" t="s">
        <v>1990</v>
      </c>
      <c r="N156" s="267" t="s">
        <v>1991</v>
      </c>
      <c r="O156" s="267" t="s">
        <v>1992</v>
      </c>
      <c r="P156" s="267" t="s">
        <v>1993</v>
      </c>
      <c r="Q156" s="274" t="s">
        <v>1994</v>
      </c>
      <c r="R156" s="267" t="s">
        <v>1995</v>
      </c>
      <c r="S156" s="267"/>
      <c r="T156" s="267" t="s">
        <v>1996</v>
      </c>
      <c r="U156" s="270"/>
      <c r="V156" s="270"/>
      <c r="W156" s="270"/>
      <c r="X156" s="267"/>
    </row>
    <row r="157">
      <c r="A157" s="271"/>
      <c r="B157" s="264">
        <v>155.0</v>
      </c>
      <c r="C157" s="271"/>
      <c r="D157" s="271" t="s">
        <v>74</v>
      </c>
      <c r="E157" s="271" t="s">
        <v>1997</v>
      </c>
      <c r="F157" s="271" t="s">
        <v>100</v>
      </c>
      <c r="G157" s="271" t="s">
        <v>1998</v>
      </c>
      <c r="H157" s="276" t="s">
        <v>799</v>
      </c>
      <c r="I157" s="272" t="s">
        <v>1999</v>
      </c>
      <c r="J157" s="272" t="s">
        <v>2000</v>
      </c>
      <c r="K157" s="272" t="s">
        <v>2001</v>
      </c>
      <c r="L157" s="272" t="s">
        <v>1894</v>
      </c>
      <c r="M157" s="272" t="s">
        <v>2002</v>
      </c>
      <c r="N157" s="271" t="s">
        <v>2003</v>
      </c>
      <c r="O157" s="271" t="s">
        <v>2004</v>
      </c>
      <c r="P157" s="271" t="s">
        <v>2005</v>
      </c>
      <c r="Q157" s="271"/>
      <c r="R157" s="271" t="s">
        <v>1995</v>
      </c>
      <c r="S157" s="271"/>
      <c r="T157" s="271" t="s">
        <v>2006</v>
      </c>
      <c r="U157" s="273"/>
      <c r="V157" s="273"/>
      <c r="W157" s="273"/>
      <c r="X157" s="271"/>
    </row>
    <row r="158">
      <c r="A158" s="260"/>
      <c r="B158" s="256">
        <v>156.0</v>
      </c>
      <c r="C158" s="256"/>
      <c r="D158" s="256" t="s">
        <v>2007</v>
      </c>
      <c r="E158" s="256" t="s">
        <v>2008</v>
      </c>
      <c r="F158" s="263"/>
      <c r="G158" s="256" t="s">
        <v>77</v>
      </c>
      <c r="H158" s="278"/>
      <c r="I158" s="261"/>
      <c r="J158" s="258" t="s">
        <v>2009</v>
      </c>
      <c r="K158" s="258" t="s">
        <v>2010</v>
      </c>
      <c r="L158" s="258" t="s">
        <v>1894</v>
      </c>
      <c r="M158" s="258" t="s">
        <v>2011</v>
      </c>
      <c r="N158" s="256" t="s">
        <v>2012</v>
      </c>
      <c r="O158" s="256" t="s">
        <v>2013</v>
      </c>
      <c r="P158" s="256" t="s">
        <v>2014</v>
      </c>
      <c r="Q158" s="263"/>
      <c r="R158" s="256" t="s">
        <v>2015</v>
      </c>
      <c r="S158" s="263"/>
      <c r="T158" s="256" t="s">
        <v>2016</v>
      </c>
      <c r="U158" s="259"/>
      <c r="V158" s="259"/>
      <c r="W158" s="259"/>
      <c r="X158" s="264"/>
    </row>
    <row r="159">
      <c r="A159" s="256"/>
      <c r="B159" s="256">
        <v>157.0</v>
      </c>
      <c r="C159" s="256"/>
      <c r="D159" s="271" t="s">
        <v>74</v>
      </c>
      <c r="E159" s="256" t="s">
        <v>2017</v>
      </c>
      <c r="F159" s="234" t="s">
        <v>2018</v>
      </c>
      <c r="G159" s="234" t="s">
        <v>77</v>
      </c>
      <c r="H159" s="234" t="s">
        <v>2019</v>
      </c>
      <c r="I159" s="251" t="s">
        <v>780</v>
      </c>
      <c r="J159" s="251" t="s">
        <v>2020</v>
      </c>
      <c r="K159" s="251" t="s">
        <v>2021</v>
      </c>
      <c r="L159" s="251" t="s">
        <v>2022</v>
      </c>
      <c r="M159" s="251" t="s">
        <v>2023</v>
      </c>
      <c r="N159" s="234" t="s">
        <v>2024</v>
      </c>
      <c r="O159" s="234" t="s">
        <v>2025</v>
      </c>
      <c r="P159" s="234" t="s">
        <v>2026</v>
      </c>
      <c r="Q159" s="279" t="s">
        <v>2027</v>
      </c>
      <c r="R159" s="234" t="s">
        <v>2028</v>
      </c>
      <c r="S159" s="234"/>
      <c r="T159" s="234" t="s">
        <v>2029</v>
      </c>
      <c r="U159" s="234" t="s">
        <v>780</v>
      </c>
      <c r="V159" s="259"/>
      <c r="W159" s="259"/>
      <c r="X159" s="264"/>
    </row>
    <row r="160">
      <c r="A160" s="257"/>
      <c r="B160" s="234">
        <v>158.0</v>
      </c>
      <c r="C160" s="240" t="s">
        <v>73</v>
      </c>
      <c r="D160" s="234" t="s">
        <v>2030</v>
      </c>
      <c r="E160" s="234" t="s">
        <v>2031</v>
      </c>
      <c r="F160" s="234" t="s">
        <v>2032</v>
      </c>
      <c r="G160" s="234" t="s">
        <v>209</v>
      </c>
      <c r="H160" s="234" t="s">
        <v>2033</v>
      </c>
      <c r="I160" s="234" t="s">
        <v>780</v>
      </c>
      <c r="J160" s="234" t="s">
        <v>2034</v>
      </c>
      <c r="K160" s="234" t="s">
        <v>2035</v>
      </c>
      <c r="L160" s="234" t="s">
        <v>2036</v>
      </c>
      <c r="M160" s="234" t="s">
        <v>2037</v>
      </c>
      <c r="N160" s="234" t="s">
        <v>2038</v>
      </c>
      <c r="O160" s="234" t="s">
        <v>2039</v>
      </c>
      <c r="P160" s="234" t="s">
        <v>2040</v>
      </c>
      <c r="Q160" s="279" t="s">
        <v>2041</v>
      </c>
      <c r="R160" s="234" t="s">
        <v>2042</v>
      </c>
      <c r="S160" s="234" t="s">
        <v>2043</v>
      </c>
      <c r="T160" s="234" t="s">
        <v>2044</v>
      </c>
      <c r="U160" s="234" t="s">
        <v>780</v>
      </c>
      <c r="V160" s="257"/>
      <c r="W160" s="257"/>
      <c r="X160" s="257"/>
    </row>
    <row r="161">
      <c r="A161" s="257"/>
      <c r="B161" s="234">
        <v>159.0</v>
      </c>
      <c r="C161" s="257"/>
      <c r="D161" s="234" t="s">
        <v>430</v>
      </c>
      <c r="E161" s="279" t="s">
        <v>2045</v>
      </c>
      <c r="F161" s="234" t="s">
        <v>2018</v>
      </c>
      <c r="G161" s="234" t="s">
        <v>2046</v>
      </c>
      <c r="H161" s="234" t="s">
        <v>2047</v>
      </c>
      <c r="I161" s="251" t="s">
        <v>780</v>
      </c>
      <c r="J161" s="251" t="s">
        <v>2048</v>
      </c>
      <c r="K161" s="251" t="s">
        <v>2049</v>
      </c>
      <c r="L161" s="251" t="s">
        <v>2050</v>
      </c>
      <c r="M161" s="251" t="s">
        <v>2051</v>
      </c>
      <c r="N161" s="234" t="s">
        <v>2052</v>
      </c>
      <c r="O161" s="234" t="s">
        <v>2053</v>
      </c>
      <c r="P161" s="234" t="s">
        <v>2054</v>
      </c>
      <c r="Q161" s="279" t="s">
        <v>2055</v>
      </c>
      <c r="R161" s="234" t="s">
        <v>2056</v>
      </c>
      <c r="S161" s="234" t="s">
        <v>782</v>
      </c>
      <c r="T161" s="234" t="s">
        <v>2057</v>
      </c>
      <c r="U161" s="234" t="s">
        <v>780</v>
      </c>
      <c r="V161" s="259"/>
      <c r="W161" s="259"/>
      <c r="X161" s="264"/>
    </row>
    <row r="162">
      <c r="A162" s="257"/>
      <c r="B162" s="234">
        <v>160.0</v>
      </c>
      <c r="C162" s="257"/>
      <c r="D162" s="234" t="s">
        <v>2058</v>
      </c>
      <c r="E162" s="234" t="s">
        <v>2059</v>
      </c>
      <c r="F162" s="234" t="s">
        <v>2018</v>
      </c>
      <c r="G162" s="234" t="s">
        <v>2060</v>
      </c>
      <c r="H162" s="234" t="s">
        <v>2061</v>
      </c>
      <c r="I162" s="251" t="s">
        <v>780</v>
      </c>
      <c r="J162" s="251" t="s">
        <v>2062</v>
      </c>
      <c r="K162" s="251" t="s">
        <v>2063</v>
      </c>
      <c r="L162" s="251" t="s">
        <v>2064</v>
      </c>
      <c r="M162" s="251" t="s">
        <v>2065</v>
      </c>
      <c r="N162" s="234" t="s">
        <v>2066</v>
      </c>
      <c r="O162" s="234" t="s">
        <v>2067</v>
      </c>
      <c r="P162" s="234" t="s">
        <v>2068</v>
      </c>
      <c r="Q162" s="280" t="s">
        <v>2069</v>
      </c>
      <c r="R162" s="234" t="s">
        <v>2070</v>
      </c>
      <c r="S162" s="234" t="s">
        <v>782</v>
      </c>
      <c r="T162" s="234" t="s">
        <v>2071</v>
      </c>
      <c r="U162" s="234" t="s">
        <v>780</v>
      </c>
      <c r="V162" s="259"/>
      <c r="W162" s="259"/>
      <c r="X162" s="264"/>
    </row>
    <row r="163">
      <c r="A163" s="257"/>
      <c r="B163" s="234">
        <v>161.0</v>
      </c>
      <c r="C163" s="257"/>
      <c r="D163" s="234" t="s">
        <v>2072</v>
      </c>
      <c r="E163" s="234" t="s">
        <v>2073</v>
      </c>
      <c r="F163" s="234" t="s">
        <v>2074</v>
      </c>
      <c r="G163" s="234" t="s">
        <v>2075</v>
      </c>
      <c r="H163" s="234" t="s">
        <v>2076</v>
      </c>
      <c r="I163" s="251" t="s">
        <v>780</v>
      </c>
      <c r="J163" s="251" t="s">
        <v>2077</v>
      </c>
      <c r="K163" s="251" t="s">
        <v>2078</v>
      </c>
      <c r="L163" s="251" t="s">
        <v>2079</v>
      </c>
      <c r="M163" s="251" t="s">
        <v>2080</v>
      </c>
      <c r="N163" s="234" t="s">
        <v>2081</v>
      </c>
      <c r="O163" s="234" t="s">
        <v>2082</v>
      </c>
      <c r="P163" s="234" t="s">
        <v>2083</v>
      </c>
      <c r="Q163" s="279" t="s">
        <v>2084</v>
      </c>
      <c r="R163" s="234" t="s">
        <v>2085</v>
      </c>
      <c r="S163" s="234" t="s">
        <v>782</v>
      </c>
      <c r="T163" s="234" t="s">
        <v>2086</v>
      </c>
      <c r="U163" s="234" t="s">
        <v>780</v>
      </c>
      <c r="V163" s="148"/>
      <c r="W163" s="148"/>
      <c r="X163" s="264"/>
    </row>
    <row r="164">
      <c r="A164" s="257"/>
      <c r="B164" s="234">
        <v>162.0</v>
      </c>
      <c r="C164" s="257"/>
      <c r="D164" s="234" t="s">
        <v>2087</v>
      </c>
      <c r="E164" s="234" t="s">
        <v>2088</v>
      </c>
      <c r="F164" s="234" t="s">
        <v>2018</v>
      </c>
      <c r="G164" s="234" t="s">
        <v>77</v>
      </c>
      <c r="H164" s="234" t="s">
        <v>2089</v>
      </c>
      <c r="I164" s="251" t="s">
        <v>780</v>
      </c>
      <c r="J164" s="251" t="s">
        <v>2090</v>
      </c>
      <c r="K164" s="251" t="s">
        <v>2091</v>
      </c>
      <c r="L164" s="251" t="s">
        <v>2092</v>
      </c>
      <c r="M164" s="251" t="s">
        <v>2093</v>
      </c>
      <c r="N164" s="234" t="s">
        <v>2094</v>
      </c>
      <c r="O164" s="234" t="s">
        <v>2095</v>
      </c>
      <c r="P164" s="234" t="s">
        <v>2096</v>
      </c>
      <c r="Q164" s="279" t="s">
        <v>2097</v>
      </c>
      <c r="R164" s="234" t="s">
        <v>2098</v>
      </c>
      <c r="S164" s="234" t="s">
        <v>782</v>
      </c>
      <c r="T164" s="234" t="s">
        <v>2099</v>
      </c>
      <c r="U164" s="234" t="s">
        <v>780</v>
      </c>
      <c r="V164" s="148"/>
      <c r="W164" s="259"/>
      <c r="X164" s="264"/>
    </row>
    <row r="165">
      <c r="A165" s="281"/>
      <c r="B165" s="282">
        <v>163.0</v>
      </c>
      <c r="C165" s="240" t="s">
        <v>73</v>
      </c>
      <c r="D165" s="283" t="s">
        <v>308</v>
      </c>
      <c r="E165" s="283" t="s">
        <v>2100</v>
      </c>
      <c r="F165" s="283" t="s">
        <v>2032</v>
      </c>
      <c r="G165" s="283" t="s">
        <v>209</v>
      </c>
      <c r="H165" s="283" t="s">
        <v>2101</v>
      </c>
      <c r="I165" s="284" t="s">
        <v>780</v>
      </c>
      <c r="J165" s="284" t="s">
        <v>2102</v>
      </c>
      <c r="K165" s="284" t="s">
        <v>2103</v>
      </c>
      <c r="L165" s="284" t="s">
        <v>2104</v>
      </c>
      <c r="M165" s="284" t="s">
        <v>2105</v>
      </c>
      <c r="N165" s="283" t="s">
        <v>2106</v>
      </c>
      <c r="O165" s="283" t="s">
        <v>2107</v>
      </c>
      <c r="P165" s="283" t="s">
        <v>2108</v>
      </c>
      <c r="Q165" s="285" t="s">
        <v>2109</v>
      </c>
      <c r="R165" s="283" t="s">
        <v>2110</v>
      </c>
      <c r="S165" s="282" t="s">
        <v>2111</v>
      </c>
      <c r="T165" s="283" t="s">
        <v>2112</v>
      </c>
      <c r="U165" s="283"/>
      <c r="V165" s="286"/>
      <c r="W165" s="286"/>
      <c r="X165" s="264"/>
    </row>
    <row r="166">
      <c r="A166" s="257"/>
      <c r="B166" s="234">
        <v>164.0</v>
      </c>
      <c r="C166" s="240" t="s">
        <v>73</v>
      </c>
      <c r="D166" s="234" t="s">
        <v>142</v>
      </c>
      <c r="E166" s="234" t="s">
        <v>2113</v>
      </c>
      <c r="F166" s="234" t="s">
        <v>2032</v>
      </c>
      <c r="G166" s="234" t="s">
        <v>209</v>
      </c>
      <c r="H166" s="234" t="s">
        <v>2114</v>
      </c>
      <c r="I166" s="251" t="s">
        <v>780</v>
      </c>
      <c r="J166" s="251" t="s">
        <v>2115</v>
      </c>
      <c r="K166" s="251" t="s">
        <v>2116</v>
      </c>
      <c r="L166" s="251" t="s">
        <v>2117</v>
      </c>
      <c r="M166" s="251" t="s">
        <v>2118</v>
      </c>
      <c r="N166" s="234" t="s">
        <v>2119</v>
      </c>
      <c r="O166" s="234" t="s">
        <v>2120</v>
      </c>
      <c r="P166" s="234" t="s">
        <v>2121</v>
      </c>
      <c r="Q166" s="279" t="s">
        <v>2122</v>
      </c>
      <c r="R166" s="234" t="s">
        <v>2123</v>
      </c>
      <c r="S166" s="234" t="s">
        <v>2124</v>
      </c>
      <c r="T166" s="234" t="s">
        <v>2125</v>
      </c>
      <c r="U166" s="234" t="s">
        <v>780</v>
      </c>
      <c r="V166" s="259"/>
      <c r="W166" s="259"/>
      <c r="X166" s="264"/>
    </row>
    <row r="167">
      <c r="A167" s="257"/>
      <c r="B167" s="234">
        <v>165.0</v>
      </c>
      <c r="C167" s="234"/>
      <c r="D167" s="234" t="s">
        <v>308</v>
      </c>
      <c r="E167" s="234" t="s">
        <v>2126</v>
      </c>
      <c r="F167" s="234" t="s">
        <v>2032</v>
      </c>
      <c r="G167" s="234" t="s">
        <v>209</v>
      </c>
      <c r="H167" s="234" t="s">
        <v>2127</v>
      </c>
      <c r="I167" s="234" t="s">
        <v>780</v>
      </c>
      <c r="J167" s="234" t="s">
        <v>2128</v>
      </c>
      <c r="K167" s="234" t="s">
        <v>2129</v>
      </c>
      <c r="L167" s="234" t="s">
        <v>2130</v>
      </c>
      <c r="M167" s="234" t="s">
        <v>2131</v>
      </c>
      <c r="N167" s="234" t="s">
        <v>2132</v>
      </c>
      <c r="O167" s="234" t="s">
        <v>2133</v>
      </c>
      <c r="P167" s="234" t="s">
        <v>2134</v>
      </c>
      <c r="Q167" s="279" t="s">
        <v>2135</v>
      </c>
      <c r="R167" s="234" t="s">
        <v>2136</v>
      </c>
      <c r="S167" s="234"/>
      <c r="T167" s="234" t="s">
        <v>2137</v>
      </c>
      <c r="U167" s="234" t="s">
        <v>780</v>
      </c>
      <c r="V167" s="257"/>
      <c r="W167" s="257"/>
      <c r="X167" s="257"/>
    </row>
    <row r="168">
      <c r="A168" s="257"/>
      <c r="B168" s="234">
        <v>166.0</v>
      </c>
      <c r="C168" s="240" t="s">
        <v>73</v>
      </c>
      <c r="D168" s="234" t="s">
        <v>308</v>
      </c>
      <c r="E168" s="234" t="s">
        <v>2138</v>
      </c>
      <c r="F168" s="234" t="s">
        <v>2032</v>
      </c>
      <c r="G168" s="234" t="s">
        <v>209</v>
      </c>
      <c r="H168" s="234" t="s">
        <v>2139</v>
      </c>
      <c r="I168" s="251" t="s">
        <v>780</v>
      </c>
      <c r="J168" s="251" t="s">
        <v>2140</v>
      </c>
      <c r="K168" s="251" t="s">
        <v>2141</v>
      </c>
      <c r="L168" s="251" t="s">
        <v>2142</v>
      </c>
      <c r="M168" s="251" t="s">
        <v>2143</v>
      </c>
      <c r="N168" s="234" t="s">
        <v>2144</v>
      </c>
      <c r="O168" s="234" t="s">
        <v>2145</v>
      </c>
      <c r="P168" s="234" t="s">
        <v>2146</v>
      </c>
      <c r="Q168" s="279" t="s">
        <v>2147</v>
      </c>
      <c r="R168" s="234" t="s">
        <v>2148</v>
      </c>
      <c r="S168" s="234" t="s">
        <v>2149</v>
      </c>
      <c r="T168" s="234" t="s">
        <v>2150</v>
      </c>
      <c r="U168" s="234" t="s">
        <v>780</v>
      </c>
      <c r="V168" s="259"/>
      <c r="W168" s="259"/>
      <c r="X168" s="264"/>
    </row>
    <row r="169">
      <c r="A169" s="257"/>
      <c r="B169" s="234">
        <v>187.0</v>
      </c>
      <c r="C169" s="257"/>
      <c r="D169" s="234" t="s">
        <v>1787</v>
      </c>
      <c r="E169" s="234" t="s">
        <v>2151</v>
      </c>
      <c r="F169" s="234" t="s">
        <v>1379</v>
      </c>
      <c r="G169" s="234" t="s">
        <v>77</v>
      </c>
      <c r="H169" s="234" t="s">
        <v>2152</v>
      </c>
      <c r="I169" s="251" t="s">
        <v>780</v>
      </c>
      <c r="J169" s="251" t="s">
        <v>2153</v>
      </c>
      <c r="K169" s="251" t="s">
        <v>2154</v>
      </c>
      <c r="L169" s="251" t="s">
        <v>2155</v>
      </c>
      <c r="M169" s="251" t="s">
        <v>2156</v>
      </c>
      <c r="N169" s="234" t="s">
        <v>2157</v>
      </c>
      <c r="O169" s="234" t="s">
        <v>2158</v>
      </c>
      <c r="P169" s="234" t="s">
        <v>2159</v>
      </c>
      <c r="Q169" s="279" t="s">
        <v>2160</v>
      </c>
      <c r="R169" s="234" t="s">
        <v>2161</v>
      </c>
      <c r="S169" s="234"/>
      <c r="T169" s="234" t="s">
        <v>2162</v>
      </c>
      <c r="U169" s="234" t="s">
        <v>780</v>
      </c>
      <c r="V169" s="259"/>
      <c r="W169" s="259"/>
      <c r="X169" s="264"/>
    </row>
    <row r="170">
      <c r="A170" s="257"/>
      <c r="B170" s="234">
        <v>188.0</v>
      </c>
      <c r="C170" s="240" t="s">
        <v>73</v>
      </c>
      <c r="D170" s="234" t="s">
        <v>308</v>
      </c>
      <c r="E170" s="234" t="s">
        <v>2163</v>
      </c>
      <c r="F170" s="234" t="s">
        <v>2164</v>
      </c>
      <c r="G170" s="234" t="s">
        <v>32</v>
      </c>
      <c r="H170" s="234" t="s">
        <v>2165</v>
      </c>
      <c r="I170" s="251" t="s">
        <v>780</v>
      </c>
      <c r="J170" s="251" t="s">
        <v>2166</v>
      </c>
      <c r="K170" s="251" t="s">
        <v>2167</v>
      </c>
      <c r="L170" s="251" t="s">
        <v>2168</v>
      </c>
      <c r="M170" s="251" t="s">
        <v>2169</v>
      </c>
      <c r="N170" s="234" t="s">
        <v>2170</v>
      </c>
      <c r="O170" s="234" t="s">
        <v>2171</v>
      </c>
      <c r="P170" s="234" t="s">
        <v>2172</v>
      </c>
      <c r="Q170" s="279" t="s">
        <v>2173</v>
      </c>
      <c r="R170" s="234" t="s">
        <v>2174</v>
      </c>
      <c r="S170" s="234" t="s">
        <v>2175</v>
      </c>
      <c r="T170" s="234" t="s">
        <v>2176</v>
      </c>
      <c r="U170" s="234" t="s">
        <v>780</v>
      </c>
      <c r="V170" s="257"/>
      <c r="W170" s="257"/>
      <c r="X170" s="257"/>
    </row>
    <row r="171">
      <c r="A171" s="257"/>
      <c r="B171" s="234">
        <v>189.0</v>
      </c>
      <c r="C171" s="240" t="s">
        <v>73</v>
      </c>
      <c r="D171" s="234" t="s">
        <v>308</v>
      </c>
      <c r="E171" s="279" t="s">
        <v>2177</v>
      </c>
      <c r="F171" s="234" t="s">
        <v>2032</v>
      </c>
      <c r="G171" s="234" t="s">
        <v>209</v>
      </c>
      <c r="H171" s="234" t="s">
        <v>2178</v>
      </c>
      <c r="I171" s="251" t="s">
        <v>780</v>
      </c>
      <c r="J171" s="251" t="s">
        <v>2179</v>
      </c>
      <c r="K171" s="251" t="s">
        <v>2180</v>
      </c>
      <c r="L171" s="251" t="s">
        <v>2181</v>
      </c>
      <c r="M171" s="251" t="s">
        <v>2182</v>
      </c>
      <c r="N171" s="234" t="s">
        <v>2183</v>
      </c>
      <c r="O171" s="234" t="s">
        <v>2184</v>
      </c>
      <c r="P171" s="234" t="s">
        <v>2185</v>
      </c>
      <c r="Q171" s="280" t="s">
        <v>2186</v>
      </c>
      <c r="R171" s="234" t="s">
        <v>2187</v>
      </c>
      <c r="S171" s="234" t="s">
        <v>2188</v>
      </c>
      <c r="T171" s="234" t="s">
        <v>2189</v>
      </c>
      <c r="U171" s="234" t="s">
        <v>780</v>
      </c>
      <c r="V171" s="259"/>
      <c r="W171" s="259"/>
      <c r="X171" s="257"/>
    </row>
    <row r="172">
      <c r="A172" s="234"/>
      <c r="B172" s="234">
        <v>190.0</v>
      </c>
      <c r="C172" s="234"/>
      <c r="D172" s="234" t="s">
        <v>74</v>
      </c>
      <c r="E172" s="234" t="s">
        <v>2190</v>
      </c>
      <c r="F172" s="234" t="s">
        <v>2018</v>
      </c>
      <c r="G172" s="234" t="s">
        <v>32</v>
      </c>
      <c r="H172" s="234" t="s">
        <v>2191</v>
      </c>
      <c r="I172" s="251" t="s">
        <v>780</v>
      </c>
      <c r="J172" s="251" t="s">
        <v>2192</v>
      </c>
      <c r="K172" s="251" t="s">
        <v>2193</v>
      </c>
      <c r="L172" s="251" t="s">
        <v>2194</v>
      </c>
      <c r="M172" s="251" t="s">
        <v>2195</v>
      </c>
      <c r="N172" s="234" t="s">
        <v>2196</v>
      </c>
      <c r="O172" s="234" t="s">
        <v>2197</v>
      </c>
      <c r="P172" s="234" t="s">
        <v>2198</v>
      </c>
      <c r="Q172" s="279" t="s">
        <v>2199</v>
      </c>
      <c r="R172" s="234" t="s">
        <v>2200</v>
      </c>
      <c r="S172" s="234" t="s">
        <v>782</v>
      </c>
      <c r="T172" s="234" t="s">
        <v>2201</v>
      </c>
      <c r="U172" s="234" t="s">
        <v>780</v>
      </c>
      <c r="V172" s="148"/>
      <c r="W172" s="257"/>
      <c r="X172" s="257"/>
    </row>
    <row r="173">
      <c r="A173" s="281"/>
      <c r="B173" s="281"/>
      <c r="C173" s="281"/>
      <c r="D173" s="281"/>
      <c r="E173" s="281"/>
      <c r="F173" s="281"/>
      <c r="G173" s="281"/>
      <c r="H173" s="281"/>
      <c r="I173" s="287"/>
      <c r="J173" s="287"/>
      <c r="K173" s="287"/>
      <c r="L173" s="287"/>
      <c r="M173" s="287"/>
      <c r="N173" s="281"/>
      <c r="O173" s="281"/>
      <c r="P173" s="281"/>
      <c r="Q173" s="281"/>
      <c r="R173" s="281"/>
      <c r="S173" s="281"/>
      <c r="T173" s="281"/>
      <c r="U173" s="281"/>
      <c r="V173" s="148"/>
      <c r="W173" s="259"/>
      <c r="X173" s="264"/>
    </row>
    <row r="174">
      <c r="A174" s="281"/>
      <c r="B174" s="281"/>
      <c r="C174" s="281"/>
      <c r="D174" s="281"/>
      <c r="E174" s="281"/>
      <c r="F174" s="281"/>
      <c r="G174" s="281"/>
      <c r="H174" s="281"/>
      <c r="I174" s="287"/>
      <c r="J174" s="287"/>
      <c r="K174" s="287"/>
      <c r="L174" s="287"/>
      <c r="M174" s="287"/>
      <c r="N174" s="281"/>
      <c r="O174" s="281"/>
      <c r="P174" s="281"/>
      <c r="Q174" s="281"/>
      <c r="R174" s="281"/>
      <c r="S174" s="281"/>
      <c r="T174" s="281"/>
      <c r="U174" s="281"/>
      <c r="V174" s="259"/>
      <c r="W174" s="259"/>
      <c r="X174" s="264"/>
    </row>
    <row r="175">
      <c r="A175" s="257"/>
      <c r="B175" s="257"/>
      <c r="C175" s="257"/>
      <c r="D175" s="257"/>
      <c r="E175" s="257"/>
      <c r="F175" s="257"/>
      <c r="G175" s="257"/>
      <c r="H175" s="257"/>
      <c r="I175" s="257"/>
      <c r="J175" s="257"/>
      <c r="K175" s="257"/>
      <c r="L175" s="257"/>
      <c r="M175" s="257"/>
      <c r="N175" s="257"/>
      <c r="O175" s="257"/>
      <c r="P175" s="257"/>
      <c r="Q175" s="257"/>
      <c r="R175" s="257"/>
      <c r="S175" s="257"/>
      <c r="T175" s="257"/>
      <c r="U175" s="257"/>
      <c r="V175" s="257"/>
      <c r="W175" s="257"/>
      <c r="X175" s="264"/>
    </row>
    <row r="176">
      <c r="A176" s="257"/>
      <c r="B176" s="257"/>
      <c r="C176" s="257"/>
      <c r="D176" s="257"/>
      <c r="E176" s="257"/>
      <c r="F176" s="257"/>
      <c r="G176" s="257"/>
      <c r="H176" s="257"/>
      <c r="I176" s="257"/>
      <c r="J176" s="257"/>
      <c r="K176" s="257"/>
      <c r="L176" s="257"/>
      <c r="M176" s="257"/>
      <c r="N176" s="257"/>
      <c r="O176" s="257"/>
      <c r="P176" s="257"/>
      <c r="Q176" s="257"/>
      <c r="R176" s="257"/>
      <c r="S176" s="257"/>
      <c r="T176" s="257"/>
      <c r="U176" s="257"/>
      <c r="V176" s="257"/>
      <c r="W176" s="257"/>
      <c r="X176" s="257"/>
    </row>
    <row r="177">
      <c r="A177" s="257"/>
      <c r="B177" s="234"/>
      <c r="C177" s="257"/>
      <c r="D177" s="257"/>
      <c r="E177" s="257"/>
      <c r="F177" s="257"/>
      <c r="G177" s="257"/>
      <c r="H177" s="257"/>
      <c r="I177" s="251"/>
      <c r="J177" s="251"/>
      <c r="K177" s="251"/>
      <c r="L177" s="251"/>
      <c r="M177" s="251"/>
      <c r="N177" s="257"/>
      <c r="O177" s="257"/>
      <c r="P177" s="257"/>
      <c r="Q177" s="257"/>
      <c r="R177" s="257"/>
      <c r="S177" s="257"/>
      <c r="T177" s="257"/>
      <c r="U177" s="257"/>
      <c r="V177" s="259"/>
      <c r="W177" s="259"/>
      <c r="X177" s="264"/>
    </row>
    <row r="178">
      <c r="A178" s="273"/>
      <c r="B178" s="259"/>
      <c r="C178" s="259"/>
      <c r="D178" s="259"/>
      <c r="E178" s="288"/>
      <c r="F178" s="259"/>
      <c r="G178" s="289"/>
      <c r="H178" s="290"/>
      <c r="I178" s="291"/>
      <c r="J178" s="291"/>
      <c r="K178" s="291"/>
      <c r="L178" s="291"/>
      <c r="M178" s="291"/>
      <c r="N178" s="259"/>
      <c r="O178" s="259"/>
      <c r="P178" s="259"/>
      <c r="Q178" s="259"/>
      <c r="R178" s="292"/>
      <c r="S178" s="288"/>
      <c r="T178" s="259"/>
      <c r="U178" s="259"/>
      <c r="V178" s="259"/>
      <c r="W178" s="259"/>
      <c r="X178" s="264"/>
    </row>
    <row r="179">
      <c r="A179" s="273"/>
      <c r="B179" s="259"/>
      <c r="C179" s="259"/>
      <c r="D179" s="259"/>
      <c r="E179" s="288"/>
      <c r="F179" s="259"/>
      <c r="G179" s="289"/>
      <c r="H179" s="290"/>
      <c r="I179" s="291"/>
      <c r="J179" s="291"/>
      <c r="K179" s="291"/>
      <c r="L179" s="291"/>
      <c r="M179" s="291"/>
      <c r="N179" s="259"/>
      <c r="O179" s="259"/>
      <c r="P179" s="259"/>
      <c r="Q179" s="259"/>
      <c r="R179" s="292"/>
      <c r="S179" s="288"/>
      <c r="T179" s="259"/>
      <c r="U179" s="259"/>
      <c r="V179" s="259"/>
      <c r="W179" s="259"/>
      <c r="X179" s="264"/>
    </row>
    <row r="180">
      <c r="A180" s="281"/>
      <c r="B180" s="281"/>
      <c r="C180" s="281"/>
      <c r="D180" s="281"/>
      <c r="E180" s="281"/>
      <c r="F180" s="281"/>
      <c r="G180" s="281"/>
      <c r="H180" s="281"/>
      <c r="I180" s="287"/>
      <c r="J180" s="287"/>
      <c r="K180" s="287"/>
      <c r="L180" s="287"/>
      <c r="M180" s="287"/>
      <c r="N180" s="281"/>
      <c r="O180" s="281"/>
      <c r="P180" s="281"/>
      <c r="Q180" s="281"/>
      <c r="R180" s="281"/>
      <c r="S180" s="281"/>
      <c r="T180" s="281"/>
      <c r="U180" s="281"/>
      <c r="V180" s="259"/>
      <c r="W180" s="259"/>
      <c r="X180" s="264"/>
    </row>
    <row r="181">
      <c r="A181" s="293"/>
      <c r="B181" s="294"/>
      <c r="C181" s="293"/>
      <c r="D181" s="293"/>
      <c r="E181" s="293"/>
      <c r="F181" s="293"/>
      <c r="G181" s="293"/>
      <c r="H181" s="293"/>
      <c r="I181" s="293"/>
      <c r="J181" s="293"/>
      <c r="K181" s="293"/>
      <c r="L181" s="293"/>
      <c r="M181" s="293"/>
      <c r="N181" s="293"/>
      <c r="O181" s="293"/>
      <c r="P181" s="293"/>
      <c r="Q181" s="293"/>
      <c r="R181" s="293"/>
      <c r="S181" s="293"/>
      <c r="T181" s="293"/>
      <c r="U181" s="293"/>
      <c r="V181" s="257"/>
      <c r="W181" s="257"/>
      <c r="X181" s="264"/>
    </row>
    <row r="182">
      <c r="W182" s="148"/>
      <c r="X182" s="295"/>
    </row>
    <row r="183">
      <c r="W183" s="148"/>
      <c r="X183" s="295"/>
    </row>
    <row r="184">
      <c r="A184" s="257"/>
      <c r="B184" s="257"/>
      <c r="C184" s="257"/>
      <c r="D184" s="257"/>
      <c r="E184" s="257"/>
      <c r="F184" s="257"/>
      <c r="G184" s="257"/>
      <c r="H184" s="257"/>
      <c r="I184" s="257"/>
      <c r="J184" s="257"/>
      <c r="K184" s="257"/>
      <c r="L184" s="257"/>
      <c r="M184" s="257"/>
      <c r="N184" s="257"/>
      <c r="O184" s="257"/>
      <c r="P184" s="257"/>
      <c r="Q184" s="257"/>
      <c r="R184" s="257"/>
      <c r="S184" s="257"/>
      <c r="T184" s="257"/>
      <c r="U184" s="257"/>
      <c r="V184" s="257"/>
      <c r="W184" s="257"/>
      <c r="X184" s="295"/>
    </row>
    <row r="185">
      <c r="A185" s="296"/>
      <c r="B185" s="148"/>
      <c r="C185" s="148"/>
      <c r="D185" s="148"/>
      <c r="E185" s="220"/>
      <c r="F185" s="148"/>
      <c r="G185" s="235"/>
      <c r="H185" s="297"/>
      <c r="I185" s="207"/>
      <c r="J185" s="207"/>
      <c r="K185" s="207"/>
      <c r="L185" s="207"/>
      <c r="M185" s="207"/>
      <c r="N185" s="148"/>
      <c r="O185" s="148"/>
      <c r="P185" s="148"/>
      <c r="Q185" s="148"/>
      <c r="R185" s="298"/>
      <c r="S185" s="220"/>
      <c r="T185" s="148"/>
      <c r="U185" s="148"/>
      <c r="V185" s="148"/>
      <c r="W185" s="148"/>
      <c r="X185" s="295"/>
    </row>
    <row r="186">
      <c r="A186" s="296"/>
      <c r="B186" s="148"/>
      <c r="C186" s="148"/>
      <c r="D186" s="148"/>
      <c r="E186" s="220"/>
      <c r="F186" s="148"/>
      <c r="G186" s="235"/>
      <c r="H186" s="297"/>
      <c r="I186" s="207"/>
      <c r="J186" s="207"/>
      <c r="K186" s="207"/>
      <c r="L186" s="207"/>
      <c r="M186" s="207"/>
      <c r="N186" s="148"/>
      <c r="O186" s="148"/>
      <c r="P186" s="148"/>
      <c r="Q186" s="148"/>
      <c r="R186" s="298"/>
      <c r="S186" s="220"/>
      <c r="T186" s="148"/>
      <c r="U186" s="148"/>
      <c r="V186" s="148"/>
      <c r="W186" s="148"/>
      <c r="X186" s="295"/>
    </row>
    <row r="187">
      <c r="A187" s="296"/>
      <c r="B187" s="148"/>
      <c r="C187" s="148"/>
      <c r="D187" s="148"/>
      <c r="E187" s="220"/>
      <c r="F187" s="148"/>
      <c r="G187" s="235"/>
      <c r="H187" s="297"/>
      <c r="I187" s="207"/>
      <c r="J187" s="207"/>
      <c r="K187" s="207"/>
      <c r="L187" s="207"/>
      <c r="M187" s="207"/>
      <c r="N187" s="148"/>
      <c r="O187" s="148"/>
      <c r="P187" s="148"/>
      <c r="Q187" s="148"/>
      <c r="R187" s="298"/>
      <c r="S187" s="220"/>
      <c r="T187" s="148"/>
      <c r="U187" s="148"/>
      <c r="V187" s="148"/>
      <c r="W187" s="148"/>
      <c r="X187" s="295"/>
    </row>
    <row r="188">
      <c r="A188" s="296"/>
      <c r="B188" s="148"/>
      <c r="C188" s="148"/>
      <c r="D188" s="148"/>
      <c r="E188" s="220"/>
      <c r="F188" s="148"/>
      <c r="G188" s="235"/>
      <c r="H188" s="297"/>
      <c r="I188" s="207"/>
      <c r="J188" s="207"/>
      <c r="K188" s="207"/>
      <c r="L188" s="207"/>
      <c r="M188" s="207"/>
      <c r="N188" s="148"/>
      <c r="O188" s="148"/>
      <c r="P188" s="148"/>
      <c r="Q188" s="148"/>
      <c r="R188" s="298"/>
      <c r="S188" s="220"/>
      <c r="T188" s="148"/>
      <c r="U188" s="148"/>
      <c r="V188" s="148"/>
      <c r="W188" s="148"/>
      <c r="X188" s="295"/>
    </row>
    <row r="189">
      <c r="A189" s="296"/>
      <c r="B189" s="148"/>
      <c r="C189" s="148"/>
      <c r="D189" s="148"/>
      <c r="E189" s="220"/>
      <c r="F189" s="148"/>
      <c r="G189" s="235"/>
      <c r="H189" s="297"/>
      <c r="I189" s="207"/>
      <c r="J189" s="207"/>
      <c r="K189" s="207"/>
      <c r="L189" s="207"/>
      <c r="M189" s="207"/>
      <c r="N189" s="148"/>
      <c r="O189" s="148"/>
      <c r="P189" s="148"/>
      <c r="Q189" s="148"/>
      <c r="R189" s="298"/>
      <c r="S189" s="220"/>
      <c r="T189" s="148"/>
      <c r="U189" s="148"/>
      <c r="V189" s="148"/>
      <c r="W189" s="148"/>
      <c r="X189" s="295"/>
    </row>
    <row r="190">
      <c r="A190" s="281"/>
      <c r="B190" s="281"/>
      <c r="C190" s="281"/>
      <c r="D190" s="281"/>
      <c r="E190" s="281"/>
      <c r="F190" s="281"/>
      <c r="G190" s="281"/>
      <c r="H190" s="281"/>
      <c r="I190" s="287"/>
      <c r="J190" s="287"/>
      <c r="K190" s="287"/>
      <c r="L190" s="287"/>
      <c r="M190" s="287"/>
      <c r="N190" s="281"/>
      <c r="O190" s="281"/>
      <c r="P190" s="281"/>
      <c r="Q190" s="281"/>
      <c r="R190" s="281"/>
      <c r="S190" s="281"/>
      <c r="T190" s="281"/>
      <c r="U190" s="281"/>
      <c r="V190" s="148"/>
      <c r="W190" s="148"/>
      <c r="X190" s="295"/>
    </row>
    <row r="191">
      <c r="A191" s="257"/>
      <c r="B191" s="257"/>
      <c r="C191" s="257"/>
      <c r="D191" s="257"/>
      <c r="E191" s="257"/>
      <c r="F191" s="257"/>
      <c r="G191" s="257"/>
      <c r="H191" s="257"/>
      <c r="I191" s="257"/>
      <c r="J191" s="257"/>
      <c r="K191" s="257"/>
      <c r="L191" s="257"/>
      <c r="M191" s="257"/>
      <c r="N191" s="257"/>
      <c r="O191" s="257"/>
      <c r="P191" s="257"/>
      <c r="Q191" s="257"/>
      <c r="R191" s="257"/>
      <c r="S191" s="257"/>
      <c r="T191" s="257"/>
      <c r="U191" s="257"/>
      <c r="V191" s="257"/>
      <c r="W191" s="148"/>
      <c r="X191" s="295"/>
    </row>
    <row r="192">
      <c r="A192" s="296"/>
      <c r="B192" s="148"/>
      <c r="C192" s="148"/>
      <c r="D192" s="148"/>
      <c r="E192" s="220"/>
      <c r="F192" s="148"/>
      <c r="G192" s="235"/>
      <c r="H192" s="297"/>
      <c r="I192" s="207"/>
      <c r="J192" s="207"/>
      <c r="K192" s="207"/>
      <c r="L192" s="207"/>
      <c r="M192" s="207"/>
      <c r="N192" s="148"/>
      <c r="O192" s="148"/>
      <c r="P192" s="148"/>
      <c r="Q192" s="148"/>
      <c r="R192" s="298"/>
      <c r="S192" s="220"/>
      <c r="T192" s="148"/>
      <c r="U192" s="148"/>
      <c r="V192" s="148"/>
      <c r="W192" s="148"/>
      <c r="X192" s="295"/>
    </row>
    <row r="193">
      <c r="A193" s="296"/>
      <c r="B193" s="148"/>
      <c r="C193" s="148"/>
      <c r="D193" s="148"/>
      <c r="E193" s="220"/>
      <c r="F193" s="148"/>
      <c r="G193" s="235"/>
      <c r="H193" s="297"/>
      <c r="I193" s="207"/>
      <c r="J193" s="207"/>
      <c r="K193" s="207"/>
      <c r="L193" s="207"/>
      <c r="M193" s="207"/>
      <c r="N193" s="148"/>
      <c r="O193" s="148"/>
      <c r="P193" s="148"/>
      <c r="Q193" s="148"/>
      <c r="R193" s="298"/>
      <c r="S193" s="220"/>
      <c r="T193" s="148"/>
      <c r="U193" s="148"/>
      <c r="V193" s="148"/>
      <c r="W193" s="148"/>
      <c r="X193" s="295"/>
    </row>
    <row r="194">
      <c r="A194" s="232"/>
      <c r="B194" s="148"/>
      <c r="C194" s="148"/>
      <c r="D194" s="148"/>
      <c r="E194" s="220"/>
      <c r="F194" s="148"/>
      <c r="G194" s="235"/>
      <c r="H194" s="297"/>
      <c r="I194" s="207"/>
      <c r="J194" s="207"/>
      <c r="K194" s="202"/>
      <c r="L194" s="202"/>
      <c r="M194" s="202"/>
      <c r="N194" s="123"/>
      <c r="O194" s="123"/>
      <c r="P194" s="123"/>
      <c r="Q194" s="123"/>
      <c r="R194" s="231"/>
      <c r="S194" s="222"/>
      <c r="T194" s="123"/>
      <c r="U194" s="123"/>
      <c r="V194" s="123"/>
      <c r="W194" s="123"/>
      <c r="X194" s="223"/>
    </row>
    <row r="195">
      <c r="A195" s="232"/>
      <c r="B195" s="148"/>
      <c r="C195" s="148"/>
      <c r="D195" s="148"/>
      <c r="E195" s="220"/>
      <c r="F195" s="148"/>
      <c r="G195" s="235"/>
      <c r="H195" s="297"/>
      <c r="I195" s="207"/>
      <c r="J195" s="207"/>
      <c r="K195" s="202"/>
      <c r="L195" s="202"/>
      <c r="M195" s="202"/>
      <c r="N195" s="123"/>
      <c r="O195" s="123"/>
      <c r="P195" s="123"/>
      <c r="Q195" s="123"/>
      <c r="R195" s="231"/>
      <c r="S195" s="222"/>
      <c r="T195" s="123"/>
      <c r="U195" s="123"/>
      <c r="V195" s="123"/>
      <c r="W195" s="123"/>
      <c r="X195" s="223"/>
    </row>
    <row r="196">
      <c r="A196" s="232"/>
      <c r="B196" s="148"/>
      <c r="C196" s="148"/>
      <c r="D196" s="148"/>
      <c r="E196" s="220"/>
      <c r="F196" s="148"/>
      <c r="G196" s="235"/>
      <c r="H196" s="297"/>
      <c r="I196" s="207"/>
      <c r="J196" s="207"/>
      <c r="K196" s="202"/>
      <c r="L196" s="202"/>
      <c r="M196" s="202"/>
      <c r="N196" s="123"/>
      <c r="O196" s="123"/>
      <c r="P196" s="123"/>
      <c r="Q196" s="123"/>
      <c r="R196" s="231"/>
      <c r="S196" s="222"/>
      <c r="T196" s="123"/>
      <c r="U196" s="123"/>
      <c r="V196" s="123"/>
      <c r="W196" s="123"/>
      <c r="X196" s="223"/>
    </row>
    <row r="197">
      <c r="A197" s="293"/>
      <c r="B197" s="294"/>
      <c r="C197" s="293"/>
      <c r="D197" s="293"/>
      <c r="E197" s="293"/>
      <c r="F197" s="293"/>
      <c r="G197" s="293"/>
      <c r="H197" s="293"/>
      <c r="I197" s="299"/>
      <c r="J197" s="299"/>
      <c r="K197" s="299"/>
      <c r="L197" s="299"/>
      <c r="M197" s="299"/>
      <c r="N197" s="293"/>
      <c r="O197" s="293"/>
      <c r="P197" s="293"/>
      <c r="Q197" s="293"/>
      <c r="R197" s="293"/>
      <c r="S197" s="293"/>
      <c r="T197" s="293"/>
      <c r="U197" s="293"/>
      <c r="V197" s="123"/>
      <c r="W197" s="123"/>
      <c r="X197" s="223"/>
    </row>
    <row r="198">
      <c r="V198" s="123"/>
      <c r="W198" s="123"/>
      <c r="X198" s="223"/>
    </row>
    <row r="199">
      <c r="A199" s="232"/>
      <c r="B199" s="148"/>
      <c r="C199" s="148"/>
      <c r="D199" s="148"/>
      <c r="E199" s="220"/>
      <c r="F199" s="148"/>
      <c r="G199" s="235"/>
      <c r="H199" s="297"/>
      <c r="I199" s="207"/>
      <c r="J199" s="207"/>
      <c r="K199" s="202"/>
      <c r="L199" s="202"/>
      <c r="M199" s="202"/>
      <c r="N199" s="123"/>
      <c r="O199" s="123"/>
      <c r="P199" s="123"/>
      <c r="Q199" s="123"/>
      <c r="R199" s="231"/>
      <c r="S199" s="222"/>
      <c r="T199" s="123"/>
      <c r="U199" s="123"/>
      <c r="V199" s="123"/>
      <c r="W199" s="123"/>
      <c r="X199" s="223"/>
    </row>
    <row r="200">
      <c r="A200" s="232"/>
      <c r="B200" s="148"/>
      <c r="C200" s="148"/>
      <c r="D200" s="148"/>
      <c r="E200" s="220"/>
      <c r="F200" s="148"/>
      <c r="G200" s="235"/>
      <c r="H200" s="297"/>
      <c r="I200" s="207"/>
      <c r="J200" s="207"/>
      <c r="K200" s="202"/>
      <c r="L200" s="202"/>
      <c r="M200" s="202"/>
      <c r="N200" s="123"/>
      <c r="O200" s="123"/>
      <c r="P200" s="123"/>
      <c r="Q200" s="123"/>
      <c r="R200" s="231"/>
      <c r="S200" s="222"/>
      <c r="T200" s="123"/>
      <c r="U200" s="123"/>
      <c r="V200" s="123"/>
      <c r="W200" s="123"/>
      <c r="X200" s="223"/>
    </row>
    <row r="201">
      <c r="A201" s="232"/>
      <c r="B201" s="148"/>
      <c r="C201" s="148"/>
      <c r="D201" s="148"/>
      <c r="E201" s="220"/>
      <c r="F201" s="148"/>
      <c r="G201" s="235"/>
      <c r="H201" s="297"/>
      <c r="I201" s="207"/>
      <c r="J201" s="207"/>
      <c r="K201" s="202"/>
      <c r="L201" s="202"/>
      <c r="M201" s="202"/>
      <c r="N201" s="123"/>
      <c r="O201" s="123"/>
      <c r="P201" s="123"/>
      <c r="Q201" s="123"/>
      <c r="R201" s="231"/>
      <c r="S201" s="222"/>
      <c r="T201" s="123"/>
      <c r="U201" s="123"/>
      <c r="V201" s="123"/>
      <c r="W201" s="123"/>
      <c r="X201" s="223"/>
    </row>
    <row r="202">
      <c r="A202" s="232"/>
      <c r="B202" s="148"/>
      <c r="C202" s="148"/>
      <c r="D202" s="148"/>
      <c r="E202" s="220"/>
      <c r="F202" s="148"/>
      <c r="G202" s="235"/>
      <c r="H202" s="297"/>
      <c r="I202" s="207"/>
      <c r="J202" s="207"/>
      <c r="K202" s="202"/>
      <c r="L202" s="202"/>
      <c r="M202" s="202"/>
      <c r="N202" s="123"/>
      <c r="O202" s="123"/>
      <c r="P202" s="123"/>
      <c r="Q202" s="123"/>
      <c r="R202" s="231"/>
      <c r="S202" s="222"/>
      <c r="T202" s="123"/>
      <c r="U202" s="123"/>
      <c r="V202" s="123"/>
      <c r="W202" s="123"/>
      <c r="X202" s="223"/>
    </row>
    <row r="203">
      <c r="A203" s="293"/>
      <c r="B203" s="294"/>
      <c r="C203" s="293"/>
      <c r="D203" s="293"/>
      <c r="E203" s="293"/>
      <c r="F203" s="293"/>
      <c r="G203" s="293"/>
      <c r="H203" s="293"/>
      <c r="I203" s="299"/>
      <c r="J203" s="299"/>
      <c r="K203" s="299"/>
      <c r="L203" s="299"/>
      <c r="M203" s="299"/>
      <c r="N203" s="293"/>
      <c r="O203" s="293"/>
      <c r="P203" s="293"/>
      <c r="Q203" s="293"/>
      <c r="R203" s="293"/>
      <c r="S203" s="293"/>
      <c r="T203" s="293"/>
      <c r="U203" s="293"/>
      <c r="V203" s="123"/>
      <c r="W203" s="123"/>
      <c r="X203" s="223"/>
    </row>
    <row r="204">
      <c r="V204" s="123"/>
      <c r="W204" s="123"/>
      <c r="X204" s="223"/>
    </row>
    <row r="205">
      <c r="A205" s="232"/>
      <c r="B205" s="148"/>
      <c r="C205" s="148"/>
      <c r="D205" s="148"/>
      <c r="E205" s="220"/>
      <c r="F205" s="148"/>
      <c r="G205" s="235"/>
      <c r="H205" s="297"/>
      <c r="I205" s="207"/>
      <c r="J205" s="207"/>
      <c r="K205" s="202"/>
      <c r="L205" s="202"/>
      <c r="M205" s="202"/>
      <c r="N205" s="123"/>
      <c r="O205" s="123"/>
      <c r="P205" s="123"/>
      <c r="Q205" s="123"/>
      <c r="R205" s="231"/>
      <c r="S205" s="222"/>
      <c r="T205" s="123"/>
      <c r="U205" s="123"/>
      <c r="V205" s="123"/>
      <c r="W205" s="123"/>
      <c r="X205" s="223"/>
    </row>
    <row r="206">
      <c r="A206" s="232"/>
      <c r="B206" s="148"/>
      <c r="C206" s="148"/>
      <c r="D206" s="148"/>
      <c r="E206" s="220"/>
      <c r="F206" s="148"/>
      <c r="G206" s="235"/>
      <c r="H206" s="297"/>
      <c r="I206" s="207"/>
      <c r="J206" s="207"/>
      <c r="K206" s="202"/>
      <c r="L206" s="202"/>
      <c r="M206" s="202"/>
      <c r="N206" s="123"/>
      <c r="O206" s="123"/>
      <c r="P206" s="123"/>
      <c r="Q206" s="123"/>
      <c r="R206" s="231"/>
      <c r="S206" s="222"/>
      <c r="T206" s="123"/>
      <c r="U206" s="123"/>
      <c r="V206" s="123"/>
      <c r="W206" s="123"/>
      <c r="X206" s="223"/>
    </row>
    <row r="207">
      <c r="A207" s="232"/>
      <c r="B207" s="148"/>
      <c r="C207" s="148"/>
      <c r="D207" s="148"/>
      <c r="E207" s="220"/>
      <c r="F207" s="148"/>
      <c r="G207" s="235"/>
      <c r="H207" s="297"/>
      <c r="I207" s="207"/>
      <c r="J207" s="207"/>
      <c r="K207" s="202"/>
      <c r="L207" s="202"/>
      <c r="M207" s="202"/>
      <c r="N207" s="123"/>
      <c r="O207" s="123"/>
      <c r="P207" s="123"/>
      <c r="Q207" s="123"/>
      <c r="R207" s="231"/>
      <c r="S207" s="222"/>
      <c r="T207" s="123"/>
      <c r="U207" s="123"/>
      <c r="V207" s="123"/>
      <c r="W207" s="123"/>
      <c r="X207" s="223"/>
    </row>
    <row r="208">
      <c r="A208" s="232"/>
      <c r="B208" s="148"/>
      <c r="C208" s="148"/>
      <c r="D208" s="148"/>
      <c r="E208" s="220"/>
      <c r="F208" s="148"/>
      <c r="G208" s="235"/>
      <c r="H208" s="297"/>
      <c r="I208" s="207"/>
      <c r="J208" s="207"/>
      <c r="K208" s="202"/>
      <c r="L208" s="202"/>
      <c r="M208" s="202"/>
      <c r="N208" s="123"/>
      <c r="O208" s="123"/>
      <c r="P208" s="123"/>
      <c r="Q208" s="123"/>
      <c r="R208" s="231"/>
      <c r="S208" s="222"/>
      <c r="T208" s="123"/>
      <c r="U208" s="123"/>
      <c r="V208" s="123"/>
      <c r="W208" s="123"/>
      <c r="X208" s="223"/>
    </row>
    <row r="209">
      <c r="A209" s="232"/>
      <c r="B209" s="148"/>
      <c r="C209" s="148"/>
      <c r="D209" s="148"/>
      <c r="E209" s="220"/>
      <c r="F209" s="148"/>
      <c r="G209" s="235"/>
      <c r="H209" s="297"/>
      <c r="I209" s="207"/>
      <c r="J209" s="207"/>
      <c r="K209" s="202"/>
      <c r="L209" s="202"/>
      <c r="M209" s="202"/>
      <c r="N209" s="123"/>
      <c r="O209" s="123"/>
      <c r="P209" s="123"/>
      <c r="Q209" s="123"/>
      <c r="R209" s="231"/>
      <c r="S209" s="222"/>
      <c r="T209" s="123"/>
      <c r="U209" s="123"/>
      <c r="V209" s="123"/>
      <c r="W209" s="123"/>
      <c r="X209" s="223"/>
    </row>
    <row r="210">
      <c r="A210" s="232"/>
      <c r="B210" s="148"/>
      <c r="C210" s="148"/>
      <c r="D210" s="148"/>
      <c r="E210" s="220"/>
      <c r="F210" s="148"/>
      <c r="G210" s="235"/>
      <c r="H210" s="297"/>
      <c r="I210" s="207"/>
      <c r="J210" s="207"/>
      <c r="K210" s="202"/>
      <c r="L210" s="202"/>
      <c r="M210" s="202"/>
      <c r="N210" s="123"/>
      <c r="O210" s="123"/>
      <c r="P210" s="123"/>
      <c r="Q210" s="123"/>
      <c r="R210" s="231"/>
      <c r="S210" s="222"/>
      <c r="T210" s="123"/>
      <c r="U210" s="123"/>
      <c r="V210" s="123"/>
      <c r="W210" s="123"/>
      <c r="X210" s="223"/>
    </row>
    <row r="211">
      <c r="A211" s="232"/>
      <c r="B211" s="148"/>
      <c r="C211" s="148"/>
      <c r="D211" s="148"/>
      <c r="E211" s="220"/>
      <c r="F211" s="148"/>
      <c r="G211" s="235"/>
      <c r="H211" s="297"/>
      <c r="I211" s="207"/>
      <c r="J211" s="207"/>
      <c r="K211" s="202"/>
      <c r="L211" s="202"/>
      <c r="M211" s="202"/>
      <c r="N211" s="123"/>
      <c r="O211" s="123"/>
      <c r="P211" s="123"/>
      <c r="Q211" s="123"/>
      <c r="R211" s="231"/>
      <c r="S211" s="222"/>
      <c r="T211" s="123"/>
      <c r="U211" s="123"/>
      <c r="V211" s="123"/>
      <c r="W211" s="123"/>
      <c r="X211" s="223"/>
    </row>
    <row r="212">
      <c r="A212" s="232"/>
      <c r="B212" s="148"/>
      <c r="C212" s="148"/>
      <c r="D212" s="148"/>
      <c r="E212" s="220"/>
      <c r="F212" s="148"/>
      <c r="G212" s="235"/>
      <c r="H212" s="297"/>
      <c r="I212" s="207"/>
      <c r="J212" s="207"/>
      <c r="K212" s="202"/>
      <c r="L212" s="202"/>
      <c r="M212" s="202"/>
      <c r="N212" s="123"/>
      <c r="O212" s="123"/>
      <c r="P212" s="123"/>
      <c r="Q212" s="123"/>
      <c r="R212" s="231"/>
      <c r="S212" s="222"/>
      <c r="T212" s="123"/>
      <c r="U212" s="123"/>
      <c r="V212" s="123"/>
      <c r="W212" s="123"/>
      <c r="X212" s="223"/>
    </row>
    <row r="213">
      <c r="A213" s="232"/>
      <c r="B213" s="148"/>
      <c r="C213" s="148"/>
      <c r="D213" s="148"/>
      <c r="E213" s="220"/>
      <c r="F213" s="148"/>
      <c r="G213" s="235"/>
      <c r="H213" s="297"/>
      <c r="I213" s="207"/>
      <c r="J213" s="207"/>
      <c r="K213" s="202"/>
      <c r="L213" s="202"/>
      <c r="M213" s="202"/>
      <c r="N213" s="123"/>
      <c r="O213" s="123"/>
      <c r="P213" s="123"/>
      <c r="Q213" s="123"/>
      <c r="R213" s="231"/>
      <c r="S213" s="222"/>
      <c r="T213" s="123"/>
      <c r="U213" s="123"/>
      <c r="V213" s="123"/>
      <c r="W213" s="123"/>
      <c r="X213" s="223"/>
    </row>
    <row r="214">
      <c r="A214" s="281"/>
      <c r="B214" s="281"/>
      <c r="C214" s="281"/>
      <c r="D214" s="281"/>
      <c r="E214" s="281"/>
      <c r="F214" s="281"/>
      <c r="G214" s="281"/>
      <c r="H214" s="281"/>
      <c r="I214" s="287"/>
      <c r="J214" s="287"/>
      <c r="K214" s="287"/>
      <c r="L214" s="287"/>
      <c r="M214" s="287"/>
      <c r="N214" s="281"/>
      <c r="O214" s="281"/>
      <c r="P214" s="281"/>
      <c r="Q214" s="281"/>
      <c r="R214" s="281"/>
      <c r="S214" s="281"/>
      <c r="T214" s="123"/>
      <c r="U214" s="123"/>
      <c r="V214" s="123"/>
      <c r="W214" s="123"/>
      <c r="X214" s="223"/>
    </row>
    <row r="215">
      <c r="A215" s="248"/>
      <c r="B215" s="248"/>
      <c r="C215" s="248"/>
      <c r="D215" s="248"/>
      <c r="E215" s="248"/>
      <c r="F215" s="248"/>
      <c r="G215" s="248"/>
      <c r="H215" s="248"/>
      <c r="I215" s="248"/>
      <c r="J215" s="248"/>
      <c r="K215" s="248"/>
      <c r="L215" s="248"/>
      <c r="M215" s="248"/>
      <c r="N215" s="248"/>
      <c r="O215" s="248"/>
      <c r="P215" s="248"/>
      <c r="Q215" s="248"/>
      <c r="R215" s="248"/>
      <c r="S215" s="248"/>
      <c r="T215" s="248"/>
      <c r="U215" s="248"/>
      <c r="V215" s="248"/>
      <c r="W215" s="248"/>
      <c r="X215" s="248"/>
    </row>
    <row r="216">
      <c r="A216" s="232"/>
      <c r="B216" s="148"/>
      <c r="C216" s="148"/>
      <c r="D216" s="148"/>
      <c r="E216" s="220"/>
      <c r="F216" s="148"/>
      <c r="G216" s="235"/>
      <c r="H216" s="297"/>
      <c r="I216" s="207"/>
      <c r="J216" s="207"/>
      <c r="K216" s="202"/>
      <c r="L216" s="202"/>
      <c r="M216" s="202"/>
      <c r="N216" s="123"/>
      <c r="O216" s="123"/>
      <c r="P216" s="123"/>
      <c r="Q216" s="123"/>
      <c r="R216" s="231"/>
      <c r="S216" s="222"/>
      <c r="T216" s="123"/>
      <c r="U216" s="123"/>
      <c r="V216" s="123"/>
      <c r="W216" s="123"/>
      <c r="X216" s="223"/>
    </row>
    <row r="217">
      <c r="A217" s="232"/>
      <c r="B217" s="148"/>
      <c r="C217" s="148"/>
      <c r="D217" s="148"/>
      <c r="E217" s="220"/>
      <c r="F217" s="148"/>
      <c r="G217" s="235"/>
      <c r="H217" s="297"/>
      <c r="I217" s="207"/>
      <c r="J217" s="207"/>
      <c r="K217" s="202"/>
      <c r="L217" s="202"/>
      <c r="M217" s="202"/>
      <c r="N217" s="123"/>
      <c r="O217" s="123"/>
      <c r="P217" s="123"/>
      <c r="Q217" s="123"/>
      <c r="R217" s="231"/>
      <c r="S217" s="222"/>
      <c r="T217" s="123"/>
      <c r="U217" s="123"/>
      <c r="V217" s="123"/>
      <c r="W217" s="123"/>
      <c r="X217" s="223"/>
    </row>
    <row r="218">
      <c r="A218" s="232"/>
      <c r="B218" s="148"/>
      <c r="C218" s="148"/>
      <c r="D218" s="148"/>
      <c r="E218" s="220"/>
      <c r="F218" s="148"/>
      <c r="G218" s="235"/>
      <c r="H218" s="297"/>
      <c r="I218" s="207"/>
      <c r="J218" s="207"/>
      <c r="K218" s="202"/>
      <c r="L218" s="202"/>
      <c r="M218" s="202"/>
      <c r="N218" s="123"/>
      <c r="O218" s="123"/>
      <c r="P218" s="123"/>
      <c r="Q218" s="123"/>
      <c r="R218" s="231"/>
      <c r="S218" s="222"/>
      <c r="T218" s="123"/>
      <c r="U218" s="123"/>
      <c r="V218" s="123"/>
      <c r="W218" s="123"/>
      <c r="X218" s="223"/>
    </row>
    <row r="219">
      <c r="A219" s="232"/>
      <c r="B219" s="148"/>
      <c r="C219" s="148"/>
      <c r="D219" s="148"/>
      <c r="E219" s="220"/>
      <c r="F219" s="148"/>
      <c r="G219" s="235"/>
      <c r="H219" s="297"/>
      <c r="I219" s="207"/>
      <c r="J219" s="207"/>
      <c r="K219" s="202"/>
      <c r="L219" s="202"/>
      <c r="M219" s="202"/>
      <c r="N219" s="123"/>
      <c r="O219" s="123"/>
      <c r="P219" s="123"/>
      <c r="Q219" s="123"/>
      <c r="R219" s="231"/>
      <c r="S219" s="222"/>
      <c r="T219" s="123"/>
      <c r="U219" s="123"/>
      <c r="V219" s="123"/>
      <c r="W219" s="123"/>
      <c r="X219" s="223"/>
    </row>
    <row r="220">
      <c r="A220" s="232"/>
      <c r="B220" s="148"/>
      <c r="C220" s="148"/>
      <c r="D220" s="148"/>
      <c r="E220" s="220"/>
      <c r="F220" s="148"/>
      <c r="G220" s="235"/>
      <c r="H220" s="297"/>
      <c r="I220" s="207"/>
      <c r="J220" s="207"/>
      <c r="K220" s="202"/>
      <c r="L220" s="202"/>
      <c r="M220" s="202"/>
      <c r="N220" s="123"/>
      <c r="O220" s="123"/>
      <c r="P220" s="123"/>
      <c r="Q220" s="123"/>
      <c r="R220" s="231"/>
      <c r="S220" s="222"/>
      <c r="T220" s="123"/>
      <c r="U220" s="123"/>
      <c r="V220" s="123"/>
      <c r="W220" s="123"/>
      <c r="X220" s="223"/>
    </row>
    <row r="221">
      <c r="A221" s="247"/>
      <c r="B221" s="247"/>
      <c r="C221" s="247"/>
      <c r="D221" s="247"/>
      <c r="E221" s="247"/>
      <c r="F221" s="247"/>
      <c r="G221" s="247"/>
      <c r="H221" s="247"/>
      <c r="I221" s="247"/>
      <c r="J221" s="247"/>
      <c r="K221" s="247"/>
      <c r="L221" s="247"/>
      <c r="M221" s="247"/>
      <c r="N221" s="247"/>
      <c r="O221" s="247"/>
      <c r="P221" s="247"/>
      <c r="Q221" s="247"/>
      <c r="R221" s="247"/>
      <c r="S221" s="247"/>
      <c r="T221" s="247"/>
      <c r="U221" s="123"/>
      <c r="V221" s="123"/>
      <c r="W221" s="123"/>
      <c r="X221" s="223"/>
    </row>
    <row r="222">
      <c r="A222" s="247"/>
      <c r="B222" s="247"/>
      <c r="C222" s="247"/>
      <c r="D222" s="247"/>
      <c r="E222" s="247"/>
      <c r="F222" s="247"/>
      <c r="G222" s="247"/>
      <c r="H222" s="247"/>
      <c r="I222" s="247"/>
      <c r="J222" s="247"/>
      <c r="K222" s="247"/>
      <c r="L222" s="247"/>
      <c r="M222" s="247"/>
      <c r="N222" s="247"/>
      <c r="O222" s="247"/>
      <c r="P222" s="247"/>
      <c r="Q222" s="247"/>
      <c r="R222" s="247"/>
      <c r="S222" s="247"/>
      <c r="T222" s="247"/>
      <c r="U222" s="123"/>
      <c r="V222" s="123"/>
      <c r="W222" s="123"/>
      <c r="X222" s="223"/>
    </row>
    <row r="223">
      <c r="A223" s="300"/>
      <c r="B223" s="300"/>
      <c r="C223" s="300"/>
      <c r="D223" s="300"/>
      <c r="E223" s="300"/>
      <c r="F223" s="300"/>
      <c r="G223" s="300"/>
      <c r="H223" s="300"/>
      <c r="I223" s="300"/>
      <c r="J223" s="300"/>
      <c r="K223" s="300"/>
      <c r="L223" s="300"/>
      <c r="M223" s="300"/>
      <c r="N223" s="300"/>
      <c r="O223" s="300"/>
      <c r="P223" s="300"/>
      <c r="Q223" s="300"/>
      <c r="R223" s="300"/>
      <c r="S223" s="300"/>
      <c r="T223" s="300"/>
      <c r="U223" s="123"/>
      <c r="V223" s="123"/>
      <c r="W223" s="223"/>
      <c r="X223" s="223"/>
    </row>
    <row r="224">
      <c r="A224" s="300"/>
      <c r="B224" s="300"/>
      <c r="C224" s="300"/>
      <c r="D224" s="300"/>
      <c r="E224" s="300"/>
      <c r="F224" s="300"/>
      <c r="G224" s="300"/>
      <c r="H224" s="300"/>
      <c r="I224" s="300"/>
      <c r="J224" s="300"/>
      <c r="K224" s="300"/>
      <c r="L224" s="300"/>
      <c r="M224" s="300"/>
      <c r="N224" s="300"/>
      <c r="O224" s="300"/>
      <c r="P224" s="300"/>
      <c r="Q224" s="300"/>
      <c r="R224" s="300"/>
      <c r="S224" s="300"/>
      <c r="T224" s="300"/>
      <c r="U224" s="123"/>
      <c r="V224" s="123"/>
      <c r="W224" s="223"/>
      <c r="X224" s="223"/>
    </row>
    <row r="225">
      <c r="A225" s="300"/>
      <c r="B225" s="300"/>
      <c r="C225" s="300"/>
      <c r="D225" s="300"/>
      <c r="E225" s="300"/>
      <c r="F225" s="300"/>
      <c r="G225" s="300"/>
      <c r="H225" s="300"/>
      <c r="I225" s="300"/>
      <c r="J225" s="300"/>
      <c r="K225" s="300"/>
      <c r="L225" s="300"/>
      <c r="M225" s="300"/>
      <c r="N225" s="300"/>
      <c r="O225" s="300"/>
      <c r="P225" s="300"/>
      <c r="Q225" s="300"/>
      <c r="R225" s="300"/>
      <c r="S225" s="300"/>
      <c r="T225" s="300"/>
      <c r="U225" s="123"/>
      <c r="V225" s="123"/>
      <c r="W225" s="223"/>
      <c r="X225" s="223"/>
    </row>
    <row r="226">
      <c r="A226" s="300"/>
      <c r="B226" s="300"/>
      <c r="C226" s="300"/>
      <c r="D226" s="300"/>
      <c r="E226" s="300"/>
      <c r="F226" s="300"/>
      <c r="G226" s="300"/>
      <c r="H226" s="300"/>
      <c r="I226" s="300"/>
      <c r="J226" s="300"/>
      <c r="K226" s="300"/>
      <c r="L226" s="300"/>
      <c r="M226" s="300"/>
      <c r="N226" s="300"/>
      <c r="O226" s="300"/>
      <c r="P226" s="300"/>
      <c r="Q226" s="300"/>
      <c r="R226" s="300"/>
      <c r="S226" s="300"/>
      <c r="T226" s="300"/>
      <c r="U226" s="123"/>
      <c r="V226" s="123"/>
      <c r="W226" s="223"/>
      <c r="X226" s="223"/>
    </row>
    <row r="227">
      <c r="A227" s="300"/>
      <c r="B227" s="300"/>
      <c r="C227" s="300"/>
      <c r="D227" s="300"/>
      <c r="E227" s="300"/>
      <c r="F227" s="300"/>
      <c r="G227" s="300"/>
      <c r="H227" s="300"/>
      <c r="I227" s="300"/>
      <c r="J227" s="300"/>
      <c r="K227" s="300"/>
      <c r="L227" s="300"/>
      <c r="M227" s="300"/>
      <c r="N227" s="300"/>
      <c r="O227" s="300"/>
      <c r="P227" s="300"/>
      <c r="Q227" s="300"/>
      <c r="R227" s="300"/>
      <c r="S227" s="300"/>
      <c r="T227" s="300"/>
      <c r="U227" s="123"/>
      <c r="V227" s="123"/>
      <c r="W227" s="223"/>
      <c r="X227" s="223"/>
    </row>
    <row r="228">
      <c r="A228" s="300"/>
      <c r="B228" s="300"/>
      <c r="C228" s="300"/>
      <c r="D228" s="300"/>
      <c r="E228" s="300"/>
      <c r="F228" s="300"/>
      <c r="G228" s="300"/>
      <c r="H228" s="300"/>
      <c r="I228" s="300"/>
      <c r="J228" s="300"/>
      <c r="K228" s="300"/>
      <c r="L228" s="300"/>
      <c r="M228" s="300"/>
      <c r="N228" s="300"/>
      <c r="O228" s="300"/>
      <c r="P228" s="300"/>
      <c r="Q228" s="300"/>
      <c r="R228" s="300"/>
      <c r="S228" s="300"/>
      <c r="T228" s="300"/>
      <c r="U228" s="123"/>
      <c r="V228" s="123"/>
      <c r="W228" s="223"/>
      <c r="X228" s="223"/>
    </row>
    <row r="229">
      <c r="A229" s="300"/>
      <c r="B229" s="300"/>
      <c r="C229" s="300"/>
      <c r="D229" s="300"/>
      <c r="E229" s="300"/>
      <c r="F229" s="300"/>
      <c r="G229" s="300"/>
      <c r="H229" s="300"/>
      <c r="I229" s="300"/>
      <c r="J229" s="300"/>
      <c r="K229" s="300"/>
      <c r="L229" s="300"/>
      <c r="M229" s="300"/>
      <c r="N229" s="300"/>
      <c r="O229" s="300"/>
      <c r="P229" s="300"/>
      <c r="Q229" s="300"/>
      <c r="R229" s="300"/>
      <c r="S229" s="300"/>
      <c r="T229" s="300"/>
      <c r="U229" s="123"/>
      <c r="V229" s="123"/>
      <c r="W229" s="223"/>
      <c r="X229" s="223"/>
    </row>
    <row r="230">
      <c r="A230" s="300"/>
      <c r="B230" s="300"/>
      <c r="C230" s="300"/>
      <c r="D230" s="300"/>
      <c r="E230" s="300"/>
      <c r="F230" s="300"/>
      <c r="G230" s="300"/>
      <c r="H230" s="300"/>
      <c r="I230" s="300"/>
      <c r="J230" s="300"/>
      <c r="K230" s="300"/>
      <c r="L230" s="300"/>
      <c r="M230" s="300"/>
      <c r="N230" s="300"/>
      <c r="O230" s="300"/>
      <c r="P230" s="300"/>
      <c r="Q230" s="300"/>
      <c r="R230" s="300"/>
      <c r="S230" s="300"/>
      <c r="T230" s="300"/>
      <c r="U230" s="123"/>
      <c r="V230" s="123"/>
      <c r="W230" s="223"/>
      <c r="X230" s="223"/>
    </row>
    <row r="231">
      <c r="A231" s="232"/>
      <c r="B231" s="148"/>
      <c r="C231" s="148"/>
      <c r="D231" s="148"/>
      <c r="E231" s="220"/>
      <c r="F231" s="148"/>
      <c r="G231" s="230"/>
      <c r="H231" s="297"/>
      <c r="I231" s="207"/>
      <c r="J231" s="207"/>
      <c r="K231" s="202"/>
      <c r="L231" s="202"/>
      <c r="M231" s="202"/>
      <c r="N231" s="123"/>
      <c r="O231" s="123"/>
      <c r="P231" s="123"/>
      <c r="Q231" s="123"/>
      <c r="R231" s="231"/>
      <c r="S231" s="222"/>
      <c r="T231" s="123"/>
      <c r="U231" s="123"/>
      <c r="V231" s="123"/>
      <c r="W231" s="223"/>
      <c r="X231" s="223"/>
    </row>
    <row r="232">
      <c r="A232" s="232"/>
      <c r="B232" s="148"/>
      <c r="C232" s="148"/>
      <c r="D232" s="148"/>
      <c r="E232" s="220"/>
      <c r="F232" s="148"/>
      <c r="G232" s="230"/>
      <c r="H232" s="297"/>
      <c r="I232" s="207"/>
      <c r="J232" s="207"/>
      <c r="K232" s="202"/>
      <c r="L232" s="202"/>
      <c r="M232" s="202"/>
      <c r="N232" s="123"/>
      <c r="O232" s="123"/>
      <c r="P232" s="123"/>
      <c r="Q232" s="123"/>
      <c r="R232" s="231"/>
      <c r="S232" s="222"/>
      <c r="T232" s="123"/>
      <c r="U232" s="123"/>
      <c r="V232" s="123"/>
      <c r="W232" s="223"/>
      <c r="X232" s="223"/>
    </row>
    <row r="233">
      <c r="A233" s="232"/>
      <c r="B233" s="148"/>
      <c r="C233" s="148"/>
      <c r="D233" s="148"/>
      <c r="E233" s="220"/>
      <c r="F233" s="148"/>
      <c r="G233" s="230"/>
      <c r="H233" s="297"/>
      <c r="I233" s="207"/>
      <c r="J233" s="207"/>
      <c r="K233" s="202"/>
      <c r="L233" s="202"/>
      <c r="M233" s="202"/>
      <c r="N233" s="123"/>
      <c r="O233" s="123"/>
      <c r="P233" s="123"/>
      <c r="Q233" s="123"/>
      <c r="R233" s="231"/>
      <c r="S233" s="222"/>
      <c r="T233" s="123"/>
      <c r="U233" s="123"/>
      <c r="V233" s="123"/>
      <c r="W233" s="223"/>
      <c r="X233" s="223"/>
    </row>
    <row r="234">
      <c r="A234" s="232"/>
      <c r="B234" s="148"/>
      <c r="C234" s="148"/>
      <c r="D234" s="148"/>
      <c r="E234" s="220"/>
      <c r="F234" s="148"/>
      <c r="G234" s="230"/>
      <c r="H234" s="297"/>
      <c r="I234" s="207"/>
      <c r="J234" s="207"/>
      <c r="K234" s="202"/>
      <c r="L234" s="202"/>
      <c r="M234" s="202"/>
      <c r="N234" s="123"/>
      <c r="O234" s="123"/>
      <c r="P234" s="123"/>
      <c r="Q234" s="123"/>
      <c r="R234" s="231"/>
      <c r="S234" s="222"/>
      <c r="T234" s="123"/>
      <c r="U234" s="123"/>
      <c r="V234" s="123"/>
      <c r="W234" s="223"/>
      <c r="X234" s="223"/>
    </row>
    <row r="235">
      <c r="A235" s="232"/>
      <c r="B235" s="148"/>
      <c r="C235" s="148"/>
      <c r="D235" s="148"/>
      <c r="E235" s="220"/>
      <c r="F235" s="148"/>
      <c r="G235" s="230"/>
      <c r="H235" s="297"/>
      <c r="I235" s="207"/>
      <c r="J235" s="207"/>
      <c r="K235" s="202"/>
      <c r="L235" s="202"/>
      <c r="M235" s="202"/>
      <c r="N235" s="123"/>
      <c r="O235" s="123"/>
      <c r="P235" s="123"/>
      <c r="Q235" s="123"/>
      <c r="R235" s="231"/>
      <c r="S235" s="222"/>
      <c r="T235" s="123"/>
      <c r="U235" s="123"/>
      <c r="V235" s="123"/>
      <c r="W235" s="223"/>
      <c r="X235" s="223"/>
    </row>
    <row r="236">
      <c r="A236" s="232"/>
      <c r="B236" s="148"/>
      <c r="C236" s="148"/>
      <c r="D236" s="148"/>
      <c r="E236" s="220"/>
      <c r="F236" s="148"/>
      <c r="G236" s="230"/>
      <c r="H236" s="297"/>
      <c r="I236" s="207"/>
      <c r="J236" s="207"/>
      <c r="K236" s="202"/>
      <c r="L236" s="202"/>
      <c r="M236" s="202"/>
      <c r="N236" s="123"/>
      <c r="O236" s="123"/>
      <c r="P236" s="123"/>
      <c r="Q236" s="123"/>
      <c r="R236" s="231"/>
      <c r="S236" s="222"/>
      <c r="T236" s="123"/>
      <c r="U236" s="123"/>
      <c r="V236" s="123"/>
      <c r="W236" s="223"/>
      <c r="X236" s="223"/>
    </row>
    <row r="237">
      <c r="A237" s="232"/>
      <c r="B237" s="148"/>
      <c r="C237" s="148"/>
      <c r="D237" s="148"/>
      <c r="E237" s="220"/>
      <c r="F237" s="148"/>
      <c r="G237" s="230"/>
      <c r="H237" s="297"/>
      <c r="I237" s="207"/>
      <c r="J237" s="207"/>
      <c r="K237" s="202"/>
      <c r="L237" s="202"/>
      <c r="M237" s="202"/>
      <c r="N237" s="123"/>
      <c r="O237" s="123"/>
      <c r="P237" s="123"/>
      <c r="Q237" s="123"/>
      <c r="R237" s="231"/>
      <c r="S237" s="222"/>
      <c r="T237" s="123"/>
      <c r="U237" s="123"/>
      <c r="V237" s="123"/>
      <c r="W237" s="223"/>
      <c r="X237" s="223"/>
    </row>
    <row r="238">
      <c r="A238" s="232"/>
      <c r="B238" s="148"/>
      <c r="C238" s="148"/>
      <c r="D238" s="148"/>
      <c r="E238" s="220"/>
      <c r="F238" s="148"/>
      <c r="G238" s="230"/>
      <c r="H238" s="297"/>
      <c r="I238" s="207"/>
      <c r="J238" s="207"/>
      <c r="K238" s="202"/>
      <c r="L238" s="202"/>
      <c r="M238" s="202"/>
      <c r="N238" s="123"/>
      <c r="O238" s="123"/>
      <c r="P238" s="123"/>
      <c r="Q238" s="123"/>
      <c r="R238" s="231"/>
      <c r="S238" s="222"/>
      <c r="T238" s="123"/>
      <c r="U238" s="123"/>
      <c r="V238" s="123"/>
      <c r="W238" s="223"/>
      <c r="X238" s="223"/>
    </row>
    <row r="239">
      <c r="A239" s="232"/>
      <c r="B239" s="148"/>
      <c r="C239" s="148"/>
      <c r="D239" s="148"/>
      <c r="E239" s="220"/>
      <c r="F239" s="148"/>
      <c r="G239" s="230"/>
      <c r="H239" s="297"/>
      <c r="I239" s="207"/>
      <c r="J239" s="207"/>
      <c r="K239" s="202"/>
      <c r="L239" s="202"/>
      <c r="M239" s="202"/>
      <c r="N239" s="123"/>
      <c r="O239" s="123"/>
      <c r="P239" s="123"/>
      <c r="Q239" s="123"/>
      <c r="R239" s="231"/>
      <c r="S239" s="222"/>
      <c r="T239" s="123"/>
      <c r="U239" s="123"/>
      <c r="V239" s="123"/>
      <c r="W239" s="223"/>
      <c r="X239" s="223"/>
    </row>
    <row r="240">
      <c r="A240" s="232"/>
      <c r="B240" s="148"/>
      <c r="C240" s="148"/>
      <c r="D240" s="148"/>
      <c r="E240" s="220"/>
      <c r="F240" s="148"/>
      <c r="G240" s="230"/>
      <c r="H240" s="297"/>
      <c r="I240" s="207"/>
      <c r="J240" s="207"/>
      <c r="K240" s="202"/>
      <c r="L240" s="202"/>
      <c r="M240" s="202"/>
      <c r="N240" s="123"/>
      <c r="O240" s="123"/>
      <c r="P240" s="123"/>
      <c r="Q240" s="123"/>
      <c r="R240" s="231"/>
      <c r="S240" s="222"/>
      <c r="T240" s="123"/>
      <c r="U240" s="123"/>
      <c r="V240" s="123"/>
      <c r="W240" s="223"/>
      <c r="X240" s="223"/>
    </row>
    <row r="241">
      <c r="A241" s="232"/>
      <c r="B241" s="148"/>
      <c r="C241" s="148"/>
      <c r="D241" s="148"/>
      <c r="E241" s="220"/>
      <c r="F241" s="148"/>
      <c r="G241" s="230"/>
      <c r="H241" s="297"/>
      <c r="I241" s="207"/>
      <c r="J241" s="207"/>
      <c r="K241" s="202"/>
      <c r="L241" s="202"/>
      <c r="M241" s="202"/>
      <c r="N241" s="123"/>
      <c r="O241" s="123"/>
      <c r="P241" s="123"/>
      <c r="Q241" s="123"/>
      <c r="R241" s="231"/>
      <c r="S241" s="222"/>
      <c r="T241" s="123"/>
      <c r="U241" s="123"/>
      <c r="V241" s="123"/>
      <c r="W241" s="223"/>
      <c r="X241" s="223"/>
    </row>
    <row r="242">
      <c r="A242" s="232"/>
      <c r="B242" s="148"/>
      <c r="C242" s="148"/>
      <c r="D242" s="148"/>
      <c r="E242" s="220"/>
      <c r="F242" s="148"/>
      <c r="G242" s="230"/>
      <c r="H242" s="297"/>
      <c r="I242" s="207"/>
      <c r="J242" s="207"/>
      <c r="K242" s="202"/>
      <c r="L242" s="202"/>
      <c r="M242" s="202"/>
      <c r="N242" s="123"/>
      <c r="O242" s="123"/>
      <c r="P242" s="123"/>
      <c r="Q242" s="123"/>
      <c r="R242" s="231"/>
      <c r="S242" s="222"/>
      <c r="T242" s="123"/>
      <c r="U242" s="123"/>
      <c r="V242" s="123"/>
      <c r="W242" s="223"/>
      <c r="X242" s="223"/>
    </row>
    <row r="243">
      <c r="A243" s="301"/>
      <c r="B243" s="302"/>
      <c r="C243" s="302"/>
      <c r="D243" s="302"/>
      <c r="E243" s="302"/>
      <c r="F243" s="302"/>
      <c r="G243" s="302"/>
      <c r="H243" s="303"/>
      <c r="I243" s="304"/>
      <c r="J243" s="304"/>
      <c r="K243" s="304"/>
      <c r="L243" s="304" t="s">
        <v>2202</v>
      </c>
      <c r="M243" s="304"/>
      <c r="N243" s="236"/>
      <c r="O243" s="236"/>
      <c r="P243" s="236"/>
      <c r="Q243" s="236"/>
      <c r="R243" s="305"/>
      <c r="S243" s="236"/>
      <c r="T243" s="236"/>
      <c r="U243" s="236"/>
      <c r="V243" s="236"/>
      <c r="W243" s="252"/>
      <c r="X243" s="252"/>
    </row>
    <row r="244">
      <c r="A244" s="301"/>
      <c r="B244" s="306"/>
      <c r="C244" s="307"/>
      <c r="D244" s="307"/>
      <c r="E244" s="307"/>
      <c r="F244" s="307"/>
      <c r="G244" s="307"/>
      <c r="H244" s="308"/>
      <c r="I244" s="309"/>
      <c r="J244" s="309"/>
      <c r="K244" s="309"/>
      <c r="L244" s="307"/>
      <c r="M244" s="307"/>
      <c r="N244" s="307"/>
      <c r="O244" s="307"/>
      <c r="P244" s="307"/>
      <c r="Q244" s="307"/>
      <c r="R244" s="310"/>
      <c r="S244" s="307"/>
      <c r="T244" s="311"/>
      <c r="U244" s="312"/>
      <c r="V244" s="312"/>
      <c r="W244" s="312"/>
      <c r="X244" s="312"/>
    </row>
    <row r="245">
      <c r="A245" s="313"/>
      <c r="B245" s="224"/>
      <c r="C245" s="302"/>
      <c r="D245" s="224"/>
      <c r="E245" s="224"/>
      <c r="F245" s="224"/>
      <c r="G245" s="224"/>
      <c r="H245" s="314"/>
      <c r="I245" s="315"/>
      <c r="J245" s="315"/>
      <c r="K245" s="315"/>
      <c r="L245" s="316"/>
      <c r="M245" s="316"/>
      <c r="N245" s="316"/>
      <c r="O245" s="316"/>
      <c r="P245" s="316"/>
      <c r="Q245" s="316"/>
      <c r="R245" s="316"/>
      <c r="S245" s="316"/>
      <c r="T245" s="316"/>
      <c r="U245" s="317"/>
      <c r="V245" s="317"/>
      <c r="W245" s="317"/>
      <c r="X245" s="317"/>
    </row>
    <row r="246">
      <c r="A246" s="318"/>
      <c r="B246" s="219"/>
      <c r="C246" s="219"/>
      <c r="D246" s="219"/>
      <c r="E246" s="219"/>
      <c r="F246" s="219"/>
      <c r="G246" s="219"/>
      <c r="H246" s="319"/>
      <c r="I246" s="320"/>
      <c r="J246" s="320"/>
      <c r="K246" s="320"/>
      <c r="L246" s="321"/>
      <c r="M246" s="321"/>
      <c r="N246" s="321"/>
      <c r="O246" s="321"/>
      <c r="P246" s="321"/>
      <c r="Q246" s="322"/>
      <c r="R246" s="321"/>
      <c r="S246" s="321"/>
      <c r="T246" s="321"/>
      <c r="U246" s="323"/>
      <c r="V246" s="323"/>
      <c r="W246" s="323"/>
      <c r="X246" s="323"/>
    </row>
    <row r="247">
      <c r="A247" s="313"/>
      <c r="B247" s="224"/>
      <c r="C247" s="224"/>
      <c r="D247" s="224"/>
      <c r="E247" s="224"/>
      <c r="F247" s="224"/>
      <c r="G247" s="224"/>
      <c r="H247" s="314"/>
      <c r="I247" s="315"/>
      <c r="J247" s="315"/>
      <c r="K247" s="315"/>
      <c r="L247" s="316"/>
      <c r="M247" s="316"/>
      <c r="N247" s="316"/>
      <c r="O247" s="316"/>
      <c r="P247" s="316"/>
      <c r="Q247" s="324"/>
      <c r="R247" s="316"/>
      <c r="S247" s="316"/>
      <c r="T247" s="313"/>
      <c r="U247" s="325"/>
      <c r="V247" s="325"/>
      <c r="W247" s="325"/>
      <c r="X247" s="325"/>
    </row>
    <row r="248">
      <c r="A248" s="318"/>
      <c r="B248" s="219"/>
      <c r="C248" s="219"/>
      <c r="D248" s="219"/>
      <c r="E248" s="219"/>
      <c r="F248" s="219"/>
      <c r="G248" s="219"/>
      <c r="H248" s="319"/>
      <c r="I248" s="320"/>
      <c r="J248" s="320"/>
      <c r="K248" s="320"/>
      <c r="L248" s="321"/>
      <c r="M248" s="321"/>
      <c r="N248" s="321"/>
      <c r="O248" s="321"/>
      <c r="P248" s="321"/>
      <c r="Q248" s="322"/>
      <c r="R248" s="321"/>
      <c r="S248" s="321"/>
      <c r="T248" s="318"/>
      <c r="U248" s="326"/>
      <c r="V248" s="326"/>
      <c r="W248" s="326"/>
      <c r="X248" s="326"/>
    </row>
    <row r="249">
      <c r="A249" s="301"/>
      <c r="B249" s="301"/>
      <c r="C249" s="301"/>
      <c r="D249" s="301"/>
      <c r="E249" s="301"/>
      <c r="F249" s="301"/>
      <c r="G249" s="301"/>
      <c r="H249" s="301"/>
      <c r="I249" s="301"/>
      <c r="J249" s="301"/>
      <c r="K249" s="301"/>
      <c r="L249" s="301"/>
      <c r="M249" s="301"/>
      <c r="N249" s="301"/>
      <c r="O249" s="301"/>
      <c r="P249" s="301"/>
      <c r="Q249" s="301"/>
      <c r="R249" s="301"/>
      <c r="S249" s="301"/>
      <c r="T249" s="301"/>
      <c r="U249" s="327"/>
      <c r="V249" s="327"/>
      <c r="W249" s="327"/>
      <c r="X249" s="327"/>
    </row>
    <row r="250">
      <c r="A250" s="301"/>
      <c r="B250" s="301"/>
      <c r="C250" s="301"/>
      <c r="D250" s="301"/>
      <c r="E250" s="301"/>
      <c r="F250" s="301"/>
      <c r="G250" s="301"/>
      <c r="H250" s="301"/>
      <c r="I250" s="301"/>
      <c r="J250" s="301"/>
      <c r="K250" s="301"/>
      <c r="L250" s="301"/>
      <c r="M250" s="301"/>
      <c r="N250" s="301"/>
      <c r="O250" s="301"/>
      <c r="P250" s="301"/>
      <c r="Q250" s="301"/>
      <c r="R250" s="301"/>
      <c r="S250" s="301"/>
      <c r="T250" s="301"/>
      <c r="U250" s="327"/>
      <c r="V250" s="327"/>
      <c r="W250" s="327"/>
      <c r="X250" s="327"/>
    </row>
    <row r="251">
      <c r="A251" s="301"/>
      <c r="B251" s="301"/>
      <c r="C251" s="301"/>
      <c r="D251" s="301"/>
      <c r="E251" s="301"/>
      <c r="F251" s="301"/>
      <c r="G251" s="301"/>
      <c r="H251" s="301"/>
      <c r="I251" s="301"/>
      <c r="J251" s="301"/>
      <c r="K251" s="301"/>
      <c r="L251" s="301"/>
      <c r="M251" s="301"/>
      <c r="N251" s="301"/>
      <c r="O251" s="301"/>
      <c r="P251" s="301"/>
      <c r="Q251" s="301"/>
      <c r="R251" s="301"/>
      <c r="S251" s="301"/>
      <c r="T251" s="301"/>
      <c r="U251" s="327"/>
      <c r="V251" s="327"/>
      <c r="W251" s="327"/>
      <c r="X251" s="327"/>
    </row>
    <row r="252">
      <c r="A252" s="301"/>
      <c r="B252" s="301"/>
      <c r="C252" s="301"/>
      <c r="D252" s="301"/>
      <c r="E252" s="301"/>
      <c r="F252" s="301"/>
      <c r="G252" s="301"/>
      <c r="H252" s="301"/>
      <c r="I252" s="301"/>
      <c r="J252" s="301"/>
      <c r="K252" s="301"/>
      <c r="L252" s="301"/>
      <c r="M252" s="301"/>
      <c r="N252" s="301"/>
      <c r="O252" s="301"/>
      <c r="P252" s="301"/>
      <c r="Q252" s="301"/>
      <c r="R252" s="301"/>
      <c r="S252" s="301"/>
      <c r="T252" s="301"/>
      <c r="U252" s="327"/>
      <c r="V252" s="327"/>
      <c r="W252" s="327"/>
      <c r="X252" s="327"/>
    </row>
    <row r="253">
      <c r="A253" s="301"/>
      <c r="B253" s="301"/>
      <c r="C253" s="301"/>
      <c r="D253" s="301"/>
      <c r="E253" s="301"/>
      <c r="F253" s="301"/>
      <c r="G253" s="301"/>
      <c r="H253" s="301"/>
      <c r="I253" s="301"/>
      <c r="J253" s="301"/>
      <c r="K253" s="301"/>
      <c r="L253" s="301"/>
      <c r="M253" s="301"/>
      <c r="N253" s="301"/>
      <c r="O253" s="301"/>
      <c r="P253" s="301"/>
      <c r="Q253" s="301"/>
      <c r="R253" s="301"/>
      <c r="S253" s="301"/>
      <c r="T253" s="301"/>
      <c r="U253" s="327"/>
      <c r="V253" s="327"/>
      <c r="W253" s="327"/>
      <c r="X253" s="327"/>
    </row>
    <row r="254">
      <c r="A254" s="301"/>
      <c r="B254" s="301"/>
      <c r="C254" s="301"/>
      <c r="D254" s="301"/>
      <c r="E254" s="301"/>
      <c r="F254" s="301"/>
      <c r="G254" s="301"/>
      <c r="H254" s="301"/>
      <c r="I254" s="301"/>
      <c r="J254" s="301"/>
      <c r="K254" s="301"/>
      <c r="L254" s="301"/>
      <c r="M254" s="301"/>
      <c r="N254" s="301"/>
      <c r="O254" s="301"/>
      <c r="P254" s="301"/>
      <c r="Q254" s="301"/>
      <c r="R254" s="301"/>
      <c r="S254" s="301"/>
      <c r="T254" s="301"/>
      <c r="U254" s="327"/>
      <c r="V254" s="327"/>
      <c r="W254" s="327"/>
      <c r="X254" s="327"/>
    </row>
    <row r="255">
      <c r="A255" s="301"/>
      <c r="B255" s="301"/>
      <c r="C255" s="301"/>
      <c r="D255" s="301"/>
      <c r="E255" s="301"/>
      <c r="F255" s="301"/>
      <c r="G255" s="301"/>
      <c r="H255" s="301"/>
      <c r="I255" s="301"/>
      <c r="J255" s="301"/>
      <c r="K255" s="301"/>
      <c r="L255" s="301"/>
      <c r="M255" s="301"/>
      <c r="N255" s="301"/>
      <c r="O255" s="301"/>
      <c r="P255" s="301"/>
      <c r="Q255" s="301"/>
      <c r="R255" s="301"/>
      <c r="S255" s="301"/>
      <c r="T255" s="301"/>
      <c r="U255" s="327"/>
      <c r="V255" s="327"/>
      <c r="W255" s="327"/>
      <c r="X255" s="327"/>
    </row>
    <row r="256">
      <c r="A256" s="301"/>
      <c r="B256" s="301"/>
      <c r="C256" s="301"/>
      <c r="D256" s="301"/>
      <c r="E256" s="301"/>
      <c r="F256" s="301"/>
      <c r="G256" s="301"/>
      <c r="H256" s="301"/>
      <c r="I256" s="301"/>
      <c r="J256" s="301"/>
      <c r="K256" s="301"/>
      <c r="L256" s="301"/>
      <c r="M256" s="301"/>
      <c r="N256" s="301"/>
      <c r="O256" s="301"/>
      <c r="P256" s="301"/>
      <c r="Q256" s="301"/>
      <c r="R256" s="301"/>
      <c r="S256" s="301"/>
      <c r="T256" s="301"/>
      <c r="U256" s="327"/>
      <c r="V256" s="327"/>
      <c r="W256" s="327"/>
      <c r="X256" s="327"/>
    </row>
    <row r="257">
      <c r="A257" s="301"/>
      <c r="B257" s="301"/>
      <c r="C257" s="301"/>
      <c r="D257" s="301"/>
      <c r="E257" s="301"/>
      <c r="F257" s="301"/>
      <c r="G257" s="301"/>
      <c r="H257" s="301"/>
      <c r="I257" s="301"/>
      <c r="J257" s="301"/>
      <c r="K257" s="301"/>
      <c r="L257" s="301"/>
      <c r="M257" s="301"/>
      <c r="N257" s="301"/>
      <c r="O257" s="301"/>
      <c r="P257" s="301"/>
      <c r="Q257" s="301"/>
      <c r="R257" s="301"/>
      <c r="S257" s="301"/>
      <c r="T257" s="301"/>
      <c r="U257" s="327"/>
      <c r="V257" s="327"/>
      <c r="W257" s="327"/>
      <c r="X257" s="327"/>
    </row>
    <row r="258">
      <c r="A258" s="301"/>
      <c r="B258" s="301"/>
      <c r="C258" s="301"/>
      <c r="D258" s="301"/>
      <c r="E258" s="301"/>
      <c r="F258" s="301"/>
      <c r="G258" s="301"/>
      <c r="H258" s="301"/>
      <c r="I258" s="301"/>
      <c r="J258" s="301"/>
      <c r="K258" s="301"/>
      <c r="L258" s="301"/>
      <c r="M258" s="301"/>
      <c r="N258" s="301"/>
      <c r="O258" s="301"/>
      <c r="P258" s="301"/>
      <c r="Q258" s="301"/>
      <c r="R258" s="301"/>
      <c r="S258" s="301"/>
      <c r="T258" s="301"/>
      <c r="U258" s="327"/>
      <c r="V258" s="327"/>
      <c r="W258" s="327"/>
      <c r="X258" s="327"/>
    </row>
    <row r="259">
      <c r="A259" s="301"/>
      <c r="B259" s="301"/>
      <c r="C259" s="301"/>
      <c r="D259" s="301"/>
      <c r="E259" s="301"/>
      <c r="F259" s="301"/>
      <c r="G259" s="301"/>
      <c r="H259" s="301"/>
      <c r="I259" s="301"/>
      <c r="J259" s="301"/>
      <c r="K259" s="301"/>
      <c r="L259" s="301"/>
      <c r="M259" s="301"/>
      <c r="N259" s="301"/>
      <c r="O259" s="301"/>
      <c r="P259" s="301"/>
      <c r="Q259" s="301"/>
      <c r="R259" s="301"/>
      <c r="S259" s="301"/>
      <c r="T259" s="301"/>
      <c r="U259" s="327"/>
      <c r="V259" s="327"/>
      <c r="W259" s="327"/>
      <c r="X259" s="327"/>
    </row>
    <row r="260">
      <c r="A260" s="301"/>
      <c r="B260" s="301"/>
      <c r="C260" s="301"/>
      <c r="D260" s="301"/>
      <c r="E260" s="301"/>
      <c r="F260" s="301"/>
      <c r="G260" s="301"/>
      <c r="H260" s="301"/>
      <c r="I260" s="301"/>
      <c r="J260" s="301"/>
      <c r="K260" s="301"/>
      <c r="L260" s="301"/>
      <c r="M260" s="301"/>
      <c r="N260" s="301"/>
      <c r="O260" s="301"/>
      <c r="P260" s="301"/>
      <c r="Q260" s="301"/>
      <c r="R260" s="301"/>
      <c r="S260" s="301"/>
      <c r="T260" s="301"/>
      <c r="U260" s="327"/>
      <c r="V260" s="327"/>
      <c r="W260" s="327"/>
      <c r="X260" s="327"/>
    </row>
    <row r="261">
      <c r="A261" s="301"/>
      <c r="B261" s="301"/>
      <c r="C261" s="301"/>
      <c r="D261" s="301"/>
      <c r="E261" s="301"/>
      <c r="F261" s="301"/>
      <c r="G261" s="301"/>
      <c r="H261" s="301"/>
      <c r="I261" s="301"/>
      <c r="J261" s="301"/>
      <c r="K261" s="301"/>
      <c r="L261" s="301"/>
      <c r="M261" s="301"/>
      <c r="N261" s="301"/>
      <c r="O261" s="301"/>
      <c r="P261" s="301"/>
      <c r="Q261" s="301"/>
      <c r="R261" s="301"/>
      <c r="S261" s="301"/>
      <c r="T261" s="301"/>
      <c r="U261" s="327"/>
      <c r="V261" s="327"/>
      <c r="W261" s="327"/>
      <c r="X261" s="327"/>
    </row>
    <row r="262">
      <c r="A262" s="301"/>
      <c r="B262" s="301"/>
      <c r="C262" s="301"/>
      <c r="D262" s="301"/>
      <c r="E262" s="301"/>
      <c r="F262" s="301"/>
      <c r="G262" s="301"/>
      <c r="H262" s="301"/>
      <c r="I262" s="301"/>
      <c r="J262" s="301"/>
      <c r="K262" s="301"/>
      <c r="L262" s="301"/>
      <c r="M262" s="301"/>
      <c r="N262" s="301"/>
      <c r="O262" s="301"/>
      <c r="P262" s="301"/>
      <c r="Q262" s="301"/>
      <c r="R262" s="301"/>
      <c r="S262" s="301"/>
      <c r="T262" s="301"/>
      <c r="U262" s="327"/>
      <c r="V262" s="327"/>
      <c r="W262" s="327"/>
      <c r="X262" s="327"/>
    </row>
    <row r="263">
      <c r="A263" s="301"/>
      <c r="B263" s="301"/>
      <c r="C263" s="301"/>
      <c r="D263" s="301"/>
      <c r="E263" s="301"/>
      <c r="F263" s="301"/>
      <c r="G263" s="301"/>
      <c r="H263" s="301"/>
      <c r="I263" s="301"/>
      <c r="J263" s="301"/>
      <c r="K263" s="301"/>
      <c r="L263" s="301"/>
      <c r="M263" s="301"/>
      <c r="N263" s="301"/>
      <c r="O263" s="301"/>
      <c r="P263" s="301"/>
      <c r="Q263" s="301"/>
      <c r="R263" s="301"/>
      <c r="S263" s="301"/>
      <c r="T263" s="301"/>
      <c r="U263" s="327"/>
      <c r="V263" s="327"/>
      <c r="W263" s="327"/>
      <c r="X263" s="327"/>
    </row>
    <row r="264">
      <c r="A264" s="301"/>
      <c r="B264" s="301"/>
      <c r="C264" s="301"/>
      <c r="D264" s="301"/>
      <c r="E264" s="301"/>
      <c r="F264" s="301"/>
      <c r="G264" s="301"/>
      <c r="H264" s="301"/>
      <c r="I264" s="301"/>
      <c r="J264" s="301"/>
      <c r="K264" s="301"/>
      <c r="L264" s="301"/>
      <c r="M264" s="301"/>
      <c r="N264" s="301"/>
      <c r="O264" s="301"/>
      <c r="P264" s="301"/>
      <c r="Q264" s="301"/>
      <c r="R264" s="301"/>
      <c r="S264" s="301"/>
      <c r="T264" s="301"/>
      <c r="U264" s="327"/>
      <c r="V264" s="327"/>
      <c r="W264" s="327"/>
      <c r="X264" s="327"/>
    </row>
    <row r="265">
      <c r="A265" s="301"/>
      <c r="B265" s="301"/>
      <c r="C265" s="301"/>
      <c r="D265" s="301"/>
      <c r="E265" s="301"/>
      <c r="F265" s="301"/>
      <c r="G265" s="301"/>
      <c r="H265" s="301"/>
      <c r="I265" s="301"/>
      <c r="J265" s="301"/>
      <c r="K265" s="301"/>
      <c r="L265" s="301"/>
      <c r="M265" s="301"/>
      <c r="N265" s="301"/>
      <c r="O265" s="301"/>
      <c r="P265" s="301"/>
      <c r="Q265" s="301"/>
      <c r="R265" s="301"/>
      <c r="S265" s="301"/>
      <c r="T265" s="301"/>
      <c r="U265" s="327"/>
      <c r="V265" s="327"/>
      <c r="W265" s="327"/>
      <c r="X265" s="327"/>
    </row>
    <row r="266">
      <c r="A266" s="301"/>
      <c r="B266" s="301"/>
      <c r="C266" s="301"/>
      <c r="D266" s="301"/>
      <c r="E266" s="301"/>
      <c r="F266" s="301"/>
      <c r="G266" s="301"/>
      <c r="H266" s="301"/>
      <c r="I266" s="301"/>
      <c r="J266" s="301"/>
      <c r="K266" s="301"/>
      <c r="L266" s="301"/>
      <c r="M266" s="301"/>
      <c r="N266" s="301"/>
      <c r="O266" s="301"/>
      <c r="P266" s="301"/>
      <c r="Q266" s="301"/>
      <c r="R266" s="301"/>
      <c r="S266" s="301"/>
      <c r="T266" s="301"/>
      <c r="U266" s="327"/>
      <c r="V266" s="327"/>
      <c r="W266" s="327"/>
      <c r="X266" s="327"/>
    </row>
    <row r="267">
      <c r="A267" s="301"/>
      <c r="B267" s="301"/>
      <c r="C267" s="301"/>
      <c r="D267" s="301"/>
      <c r="E267" s="301"/>
      <c r="F267" s="301"/>
      <c r="G267" s="301"/>
      <c r="H267" s="301"/>
      <c r="I267" s="301"/>
      <c r="J267" s="301"/>
      <c r="K267" s="301"/>
      <c r="L267" s="301"/>
      <c r="M267" s="301"/>
      <c r="N267" s="301"/>
      <c r="O267" s="301"/>
      <c r="P267" s="301"/>
      <c r="Q267" s="301"/>
      <c r="R267" s="301"/>
      <c r="S267" s="301"/>
      <c r="T267" s="301"/>
      <c r="U267" s="327"/>
      <c r="V267" s="327"/>
      <c r="W267" s="327"/>
      <c r="X267" s="327"/>
    </row>
    <row r="268">
      <c r="A268" s="301"/>
      <c r="B268" s="301"/>
      <c r="C268" s="301"/>
      <c r="D268" s="301"/>
      <c r="E268" s="301"/>
      <c r="F268" s="301"/>
      <c r="G268" s="301"/>
      <c r="H268" s="301"/>
      <c r="I268" s="301"/>
      <c r="J268" s="301"/>
      <c r="K268" s="301"/>
      <c r="L268" s="301"/>
      <c r="M268" s="301"/>
      <c r="N268" s="301"/>
      <c r="O268" s="301"/>
      <c r="P268" s="301"/>
      <c r="Q268" s="301"/>
      <c r="R268" s="301"/>
      <c r="S268" s="301"/>
      <c r="T268" s="301"/>
      <c r="U268" s="327"/>
      <c r="V268" s="327"/>
      <c r="W268" s="327"/>
      <c r="X268" s="327"/>
    </row>
    <row r="269">
      <c r="A269" s="301"/>
      <c r="B269" s="301"/>
      <c r="C269" s="301"/>
      <c r="D269" s="301"/>
      <c r="E269" s="301"/>
      <c r="F269" s="301"/>
      <c r="G269" s="301"/>
      <c r="H269" s="301"/>
      <c r="I269" s="301"/>
      <c r="J269" s="301"/>
      <c r="K269" s="301"/>
      <c r="L269" s="301"/>
      <c r="M269" s="301"/>
      <c r="N269" s="301"/>
      <c r="O269" s="301"/>
      <c r="P269" s="301"/>
      <c r="Q269" s="301"/>
      <c r="R269" s="301"/>
      <c r="S269" s="301"/>
      <c r="T269" s="301"/>
      <c r="U269" s="327"/>
      <c r="V269" s="327"/>
      <c r="W269" s="327"/>
      <c r="X269" s="327"/>
    </row>
    <row r="270">
      <c r="A270" s="301"/>
      <c r="B270" s="301"/>
      <c r="C270" s="301"/>
      <c r="D270" s="301"/>
      <c r="E270" s="301"/>
      <c r="F270" s="301"/>
      <c r="G270" s="301"/>
      <c r="H270" s="301"/>
      <c r="I270" s="301"/>
      <c r="J270" s="301"/>
      <c r="K270" s="301"/>
      <c r="L270" s="301"/>
      <c r="M270" s="301"/>
      <c r="N270" s="301"/>
      <c r="O270" s="301"/>
      <c r="P270" s="301"/>
      <c r="Q270" s="301"/>
      <c r="R270" s="301"/>
      <c r="S270" s="301"/>
      <c r="T270" s="301"/>
      <c r="U270" s="327"/>
      <c r="V270" s="327"/>
      <c r="W270" s="327"/>
      <c r="X270" s="327"/>
    </row>
    <row r="271">
      <c r="A271" s="301"/>
      <c r="B271" s="301"/>
      <c r="C271" s="301"/>
      <c r="D271" s="301"/>
      <c r="E271" s="301"/>
      <c r="F271" s="301"/>
      <c r="G271" s="301"/>
      <c r="H271" s="301"/>
      <c r="I271" s="301"/>
      <c r="J271" s="301"/>
      <c r="K271" s="301"/>
      <c r="L271" s="301"/>
      <c r="M271" s="301"/>
      <c r="N271" s="301"/>
      <c r="O271" s="301"/>
      <c r="P271" s="301"/>
      <c r="Q271" s="301"/>
      <c r="R271" s="301"/>
      <c r="S271" s="301"/>
      <c r="T271" s="301"/>
      <c r="U271" s="327"/>
      <c r="V271" s="327"/>
      <c r="W271" s="327"/>
      <c r="X271" s="327"/>
    </row>
    <row r="272">
      <c r="A272" s="301"/>
      <c r="B272" s="301"/>
      <c r="C272" s="301"/>
      <c r="D272" s="301"/>
      <c r="E272" s="301"/>
      <c r="F272" s="301"/>
      <c r="G272" s="301"/>
      <c r="H272" s="301"/>
      <c r="I272" s="301"/>
      <c r="J272" s="301"/>
      <c r="K272" s="301"/>
      <c r="L272" s="301"/>
      <c r="M272" s="301"/>
      <c r="N272" s="301"/>
      <c r="O272" s="301"/>
      <c r="P272" s="301"/>
      <c r="Q272" s="301"/>
      <c r="R272" s="301"/>
      <c r="S272" s="301"/>
      <c r="T272" s="301"/>
      <c r="U272" s="327"/>
      <c r="V272" s="327"/>
      <c r="W272" s="327"/>
      <c r="X272" s="327"/>
    </row>
    <row r="273">
      <c r="A273" s="301"/>
      <c r="B273" s="301"/>
      <c r="C273" s="301"/>
      <c r="D273" s="301"/>
      <c r="E273" s="301"/>
      <c r="F273" s="301"/>
      <c r="G273" s="301"/>
      <c r="H273" s="301"/>
      <c r="I273" s="301"/>
      <c r="J273" s="301"/>
      <c r="K273" s="301"/>
      <c r="L273" s="301"/>
      <c r="M273" s="301"/>
      <c r="N273" s="301"/>
      <c r="O273" s="301"/>
      <c r="P273" s="301"/>
      <c r="Q273" s="301"/>
      <c r="R273" s="301"/>
      <c r="S273" s="301"/>
      <c r="T273" s="301"/>
      <c r="U273" s="327"/>
      <c r="V273" s="327"/>
      <c r="W273" s="327"/>
      <c r="X273" s="327"/>
    </row>
    <row r="274">
      <c r="A274" s="301"/>
      <c r="B274" s="301"/>
      <c r="C274" s="301"/>
      <c r="D274" s="301"/>
      <c r="E274" s="301"/>
      <c r="F274" s="301"/>
      <c r="G274" s="301"/>
      <c r="H274" s="301"/>
      <c r="I274" s="301"/>
      <c r="J274" s="301"/>
      <c r="K274" s="301"/>
      <c r="L274" s="301"/>
      <c r="M274" s="301"/>
      <c r="N274" s="301"/>
      <c r="O274" s="301"/>
      <c r="P274" s="301"/>
      <c r="Q274" s="301"/>
      <c r="R274" s="301"/>
      <c r="S274" s="301"/>
      <c r="T274" s="301"/>
      <c r="U274" s="327"/>
      <c r="V274" s="327"/>
      <c r="W274" s="327"/>
      <c r="X274" s="327"/>
    </row>
  </sheetData>
  <dataValidations>
    <dataValidation type="list" allowBlank="1" sqref="H2:H108">
      <formula1>"5,3,2,1"</formula1>
    </dataValidation>
    <dataValidation type="list" allowBlank="1" sqref="G100:G102">
      <formula1>"5,3,2,1"</formula1>
    </dataValidation>
    <dataValidation type="custom" allowBlank="1" showDropDown="1" sqref="I2:K108">
      <formula1>AND(ISNUMBER(I2),(NOT(OR(NOT(ISERROR(DATEVALUE(I2))), AND(ISNUMBER(I2), LEFT(CELL("format", I2))="D")))))</formula1>
    </dataValidation>
  </dataValidations>
  <hyperlinks>
    <hyperlink r:id="rId1" ref="Q3"/>
    <hyperlink r:id="rId2" ref="T3"/>
    <hyperlink r:id="rId3" ref="Q4"/>
    <hyperlink r:id="rId4" ref="Q5"/>
    <hyperlink r:id="rId5" ref="Q6"/>
    <hyperlink r:id="rId6" ref="Q7"/>
    <hyperlink r:id="rId7" ref="Q8"/>
    <hyperlink r:id="rId8" ref="D9"/>
    <hyperlink r:id="rId9" ref="Q9"/>
    <hyperlink r:id="rId10" ref="Q10"/>
    <hyperlink r:id="rId11" ref="Q11"/>
    <hyperlink r:id="rId12" ref="Q13"/>
    <hyperlink r:id="rId13" ref="P14"/>
    <hyperlink r:id="rId14" ref="Q15"/>
    <hyperlink r:id="rId15" ref="Q16"/>
    <hyperlink r:id="rId16" ref="Q17"/>
    <hyperlink r:id="rId17" ref="Q18"/>
    <hyperlink r:id="rId18" ref="Q19"/>
    <hyperlink r:id="rId19" ref="Q20"/>
    <hyperlink r:id="rId20" ref="Q21"/>
    <hyperlink r:id="rId21" ref="Q22"/>
    <hyperlink r:id="rId22" ref="Q23"/>
    <hyperlink r:id="rId23" ref="Q24"/>
    <hyperlink r:id="rId24" ref="Q25"/>
    <hyperlink r:id="rId25" ref="Q26"/>
    <hyperlink r:id="rId26" ref="Q27"/>
    <hyperlink r:id="rId27" ref="Q28"/>
    <hyperlink r:id="rId28" ref="Q29"/>
    <hyperlink r:id="rId29" ref="Q30"/>
    <hyperlink r:id="rId30" ref="Q31"/>
    <hyperlink r:id="rId31" ref="Q32"/>
    <hyperlink r:id="rId32" ref="Q33"/>
    <hyperlink r:id="rId33" ref="Q34"/>
    <hyperlink r:id="rId34" ref="Q35"/>
    <hyperlink r:id="rId35" ref="Q36"/>
    <hyperlink r:id="rId36" ref="Q37"/>
    <hyperlink r:id="rId37" ref="Q38"/>
    <hyperlink r:id="rId38" ref="Q39"/>
    <hyperlink r:id="rId39" ref="Q40"/>
    <hyperlink r:id="rId40" ref="Q41"/>
    <hyperlink r:id="rId41" ref="Q42"/>
    <hyperlink r:id="rId42" ref="S42"/>
    <hyperlink r:id="rId43" ref="Q43"/>
    <hyperlink r:id="rId44" ref="Q44"/>
    <hyperlink r:id="rId45" ref="Q45"/>
    <hyperlink r:id="rId46" ref="Q46"/>
    <hyperlink r:id="rId47" ref="Q47"/>
    <hyperlink r:id="rId48" ref="Q48"/>
    <hyperlink r:id="rId49" ref="Q49"/>
    <hyperlink r:id="rId50" ref="Q50"/>
    <hyperlink r:id="rId51" ref="Q51"/>
    <hyperlink r:id="rId52" ref="Q52"/>
    <hyperlink r:id="rId53" ref="Q53"/>
    <hyperlink r:id="rId54" ref="Q54"/>
    <hyperlink r:id="rId55" ref="Q55"/>
    <hyperlink r:id="rId56" ref="Q56"/>
    <hyperlink r:id="rId57" ref="Q57"/>
    <hyperlink r:id="rId58" ref="Q58"/>
    <hyperlink r:id="rId59" ref="Q59"/>
    <hyperlink r:id="rId60" ref="Q62"/>
    <hyperlink r:id="rId61" ref="Q64"/>
    <hyperlink r:id="rId62" ref="Q65"/>
    <hyperlink r:id="rId63" ref="Q66"/>
    <hyperlink r:id="rId64" ref="Q67"/>
    <hyperlink r:id="rId65" ref="Q68"/>
    <hyperlink r:id="rId66" ref="Q69"/>
    <hyperlink r:id="rId67" ref="Q70"/>
    <hyperlink r:id="rId68" ref="Q71"/>
    <hyperlink r:id="rId69" ref="Q74"/>
    <hyperlink r:id="rId70" ref="Q75"/>
    <hyperlink r:id="rId71" ref="Q76"/>
    <hyperlink r:id="rId72" ref="S76"/>
    <hyperlink r:id="rId73" ref="Q77"/>
    <hyperlink r:id="rId74" ref="Q78"/>
    <hyperlink r:id="rId75" ref="E79"/>
    <hyperlink r:id="rId76" ref="Q79"/>
    <hyperlink r:id="rId77" ref="E80"/>
    <hyperlink r:id="rId78" ref="O80"/>
    <hyperlink r:id="rId79" ref="Q80"/>
    <hyperlink r:id="rId80" ref="E81"/>
    <hyperlink r:id="rId81" ref="Q81"/>
    <hyperlink r:id="rId82" ref="Q82"/>
    <hyperlink r:id="rId83" ref="Q83"/>
    <hyperlink r:id="rId84" ref="Q84"/>
    <hyperlink r:id="rId85" ref="Q85"/>
    <hyperlink r:id="rId86" ref="Q86"/>
    <hyperlink r:id="rId87" ref="Q87"/>
    <hyperlink r:id="rId88" ref="Q88"/>
    <hyperlink r:id="rId89" ref="E89"/>
    <hyperlink r:id="rId90" ref="R89"/>
    <hyperlink r:id="rId91" ref="E90"/>
    <hyperlink r:id="rId92" ref="R90"/>
    <hyperlink r:id="rId93" ref="R91"/>
    <hyperlink r:id="rId94" ref="Q93"/>
    <hyperlink r:id="rId95" ref="Q94"/>
    <hyperlink r:id="rId96" ref="Q95"/>
    <hyperlink r:id="rId97" ref="Q96"/>
    <hyperlink r:id="rId98" ref="Q97"/>
    <hyperlink r:id="rId99" ref="Q98"/>
    <hyperlink r:id="rId100" ref="Q99"/>
    <hyperlink r:id="rId101" ref="Q100"/>
    <hyperlink r:id="rId102" ref="Q101"/>
    <hyperlink r:id="rId103" ref="S101"/>
    <hyperlink r:id="rId104" ref="Q102"/>
    <hyperlink r:id="rId105" ref="Q103"/>
    <hyperlink r:id="rId106" ref="Q104"/>
    <hyperlink r:id="rId107" ref="Q105"/>
    <hyperlink r:id="rId108" ref="Q106"/>
    <hyperlink r:id="rId109" ref="Q107"/>
    <hyperlink r:id="rId110" ref="Q108"/>
    <hyperlink r:id="rId111" ref="Q109"/>
    <hyperlink r:id="rId112" ref="Q110"/>
    <hyperlink r:id="rId113" ref="Q111"/>
    <hyperlink r:id="rId114" ref="Q112"/>
    <hyperlink r:id="rId115" ref="P113"/>
    <hyperlink r:id="rId116" ref="Q114"/>
    <hyperlink r:id="rId117" ref="Q115"/>
    <hyperlink r:id="rId118" ref="S115"/>
    <hyperlink r:id="rId119" ref="Q116"/>
    <hyperlink r:id="rId120" ref="Q117"/>
    <hyperlink r:id="rId121" ref="Q118"/>
    <hyperlink r:id="rId122" ref="Q119"/>
    <hyperlink r:id="rId123" ref="Q121"/>
    <hyperlink r:id="rId124" ref="Q122"/>
    <hyperlink r:id="rId125" ref="Q123"/>
    <hyperlink r:id="rId126" ref="Q124"/>
    <hyperlink r:id="rId127" ref="Q125"/>
    <hyperlink r:id="rId128" ref="Q126"/>
    <hyperlink r:id="rId129" ref="Q127"/>
    <hyperlink r:id="rId130" ref="Q128"/>
    <hyperlink r:id="rId131" ref="Q129"/>
    <hyperlink r:id="rId132" ref="Q130"/>
    <hyperlink r:id="rId133" ref="Q131"/>
    <hyperlink r:id="rId134" ref="Q132"/>
    <hyperlink r:id="rId135" ref="Q133"/>
    <hyperlink r:id="rId136" ref="Q136"/>
    <hyperlink r:id="rId137" ref="E137"/>
    <hyperlink r:id="rId138" ref="E138"/>
    <hyperlink r:id="rId139" ref="Q138"/>
    <hyperlink r:id="rId140" ref="Q139"/>
    <hyperlink r:id="rId141" ref="Q140"/>
    <hyperlink r:id="rId142" ref="Q141"/>
    <hyperlink r:id="rId143" ref="Q146"/>
    <hyperlink r:id="rId144" ref="Q147"/>
    <hyperlink r:id="rId145" ref="Q149"/>
    <hyperlink r:id="rId146" ref="Q150"/>
    <hyperlink r:id="rId147" ref="Q151"/>
    <hyperlink r:id="rId148" ref="Q154"/>
    <hyperlink r:id="rId149" ref="Q155"/>
    <hyperlink r:id="rId150" ref="Q156"/>
    <hyperlink r:id="rId151" ref="Q159"/>
    <hyperlink r:id="rId152" ref="Q160"/>
    <hyperlink r:id="rId153" ref="E161"/>
    <hyperlink r:id="rId154" ref="Q161"/>
    <hyperlink r:id="rId155" ref="Q162"/>
    <hyperlink r:id="rId156" ref="Q163"/>
    <hyperlink r:id="rId157" ref="Q164"/>
    <hyperlink r:id="rId158" ref="Q165"/>
    <hyperlink r:id="rId159" ref="Q166"/>
    <hyperlink r:id="rId160" ref="Q167"/>
    <hyperlink r:id="rId161" ref="Q168"/>
    <hyperlink r:id="rId162" ref="Q169"/>
    <hyperlink r:id="rId163" ref="Q170"/>
    <hyperlink r:id="rId164" ref="E171"/>
    <hyperlink r:id="rId165" ref="Q171"/>
    <hyperlink r:id="rId166" ref="Q172"/>
  </hyperlinks>
  <drawing r:id="rId167"/>
  <tableParts count="2">
    <tablePart r:id="rId170"/>
    <tablePart r:id="rId171"/>
  </tableParts>
</worksheet>
</file>